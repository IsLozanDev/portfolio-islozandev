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yecto\_isLozanDev\_vitrina-isdev\rf-rnf\"/>
    </mc:Choice>
  </mc:AlternateContent>
  <xr:revisionPtr revIDLastSave="0" documentId="13_ncr:1_{98517EF1-0C94-452A-BA7F-D108FCE41EF5}" xr6:coauthVersionLast="47" xr6:coauthVersionMax="47" xr10:uidLastSave="{00000000-0000-0000-0000-000000000000}"/>
  <bookViews>
    <workbookView xWindow="-120" yWindow="-120" windowWidth="29040" windowHeight="15960" tabRatio="916" activeTab="11" xr2:uid="{00000000-000D-0000-FFFF-FFFF00000000}"/>
  </bookViews>
  <sheets>
    <sheet name="Portada" sheetId="1" r:id="rId1"/>
    <sheet name="Aplicaciones" sheetId="2" r:id="rId2"/>
    <sheet name="Módulos" sheetId="3" r:id="rId3"/>
    <sheet name="Actores" sheetId="4" r:id="rId4"/>
    <sheet name="Procesos" sheetId="5" r:id="rId5"/>
    <sheet name="Reglas de negocio" sheetId="6" r:id="rId6"/>
    <sheet name="RF" sheetId="7" r:id="rId7"/>
    <sheet name="Criterios GWT" sheetId="8" r:id="rId8"/>
    <sheet name="RNF" sheetId="9" r:id="rId9"/>
    <sheet name="Matriz Proceso-RF" sheetId="10" r:id="rId10"/>
    <sheet name="Matriz RF-RNF" sheetId="11" r:id="rId11"/>
    <sheet name="Trazabilidad" sheetId="12" r:id="rId12"/>
    <sheet name="Componentes" sheetId="13" r:id="rId13"/>
    <sheet name="Consumidores" sheetId="14" r:id="rId14"/>
  </sheets>
  <definedNames>
    <definedName name="_xlnm._FilterDatabase" localSheetId="3" hidden="1">Actores!$A$3:$D$21</definedName>
    <definedName name="_xlnm._FilterDatabase" localSheetId="1" hidden="1">Aplicaciones!$A$3:$G$8</definedName>
    <definedName name="_xlnm._FilterDatabase" localSheetId="12" hidden="1">Componentes!$A$3:$AA$27</definedName>
    <definedName name="_xlnm._FilterDatabase" localSheetId="13" hidden="1">Consumidores!$A$3:$M$27</definedName>
    <definedName name="_xlnm._FilterDatabase" localSheetId="7" hidden="1">'Criterios GWT'!$A$3:$J$341</definedName>
    <definedName name="_xlnm._FilterDatabase" localSheetId="9" hidden="1">'Matriz Proceso-RF'!$A$3:$P$141</definedName>
    <definedName name="_xlnm._FilterDatabase" localSheetId="10" hidden="1">'Matriz RF-RNF'!$A$3:$BE$141</definedName>
    <definedName name="_xlnm._FilterDatabase" localSheetId="2" hidden="1">Módulos!$A$3:$E$24</definedName>
    <definedName name="_xlnm._FilterDatabase" localSheetId="4" hidden="1">Procesos!$A$3:$H$16</definedName>
    <definedName name="_xlnm._FilterDatabase" localSheetId="5" hidden="1">'Reglas de negocio'!$A$3:$D$51</definedName>
    <definedName name="_xlnm._FilterDatabase" localSheetId="6" hidden="1">RF!$A$3:$S$141</definedName>
    <definedName name="_xlnm._FilterDatabase" localSheetId="8" hidden="1">RNF!$A$3:$J$61</definedName>
    <definedName name="_xlnm._FilterDatabase" localSheetId="11" hidden="1">Trazabilidad!$A$3:$L$195</definedName>
    <definedName name="_xlnm.Print_Titles" localSheetId="3">Actores!$3:$3</definedName>
    <definedName name="_xlnm.Print_Titles" localSheetId="1">Aplicaciones!$3:$3</definedName>
    <definedName name="_xlnm.Print_Titles" localSheetId="12">Componentes!$3:$3</definedName>
    <definedName name="_xlnm.Print_Titles" localSheetId="13">Consumidores!$3:$3</definedName>
    <definedName name="_xlnm.Print_Titles" localSheetId="7">'Criterios GWT'!$3:$3</definedName>
    <definedName name="_xlnm.Print_Titles" localSheetId="9">'Matriz Proceso-RF'!$3:$3</definedName>
    <definedName name="_xlnm.Print_Titles" localSheetId="10">'Matriz RF-RNF'!$3:$3</definedName>
    <definedName name="_xlnm.Print_Titles" localSheetId="2">Módulos!$3:$3</definedName>
    <definedName name="_xlnm.Print_Titles" localSheetId="4">Procesos!$3:$3</definedName>
    <definedName name="_xlnm.Print_Titles" localSheetId="5">'Reglas de negocio'!$3:$3</definedName>
    <definedName name="_xlnm.Print_Titles" localSheetId="6">RF!$3:$3</definedName>
    <definedName name="_xlnm.Print_Titles" localSheetId="8">RNF!$3:$3</definedName>
    <definedName name="_xlnm.Print_Titles" localSheetId="11">Trazabilidad!$3:$3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7" i="14" l="1"/>
  <c r="L26" i="14"/>
  <c r="L25" i="14"/>
  <c r="L24" i="14"/>
  <c r="L23" i="14"/>
  <c r="L22" i="14"/>
  <c r="L21" i="14"/>
  <c r="L20" i="14"/>
  <c r="L19" i="14"/>
  <c r="L18" i="14"/>
  <c r="L17" i="14"/>
  <c r="L16" i="14"/>
  <c r="L15" i="14"/>
  <c r="L14" i="14"/>
  <c r="L13" i="14"/>
  <c r="L12" i="14"/>
  <c r="L11" i="14"/>
  <c r="L10" i="14"/>
  <c r="L9" i="14"/>
  <c r="L8" i="14"/>
  <c r="L7" i="14"/>
  <c r="L6" i="14"/>
  <c r="L5" i="14"/>
  <c r="L4" i="14"/>
  <c r="F27" i="13"/>
  <c r="F26" i="13"/>
  <c r="F25" i="13"/>
  <c r="F24" i="13"/>
  <c r="F23" i="13"/>
  <c r="F22" i="13"/>
  <c r="F21" i="13"/>
  <c r="F20" i="13"/>
  <c r="F19" i="13"/>
  <c r="F18" i="13"/>
  <c r="F17" i="13"/>
  <c r="F16" i="13"/>
  <c r="F15" i="13"/>
  <c r="F14" i="13"/>
  <c r="F13" i="13"/>
  <c r="F12" i="13"/>
  <c r="F11" i="13"/>
  <c r="F10" i="13"/>
  <c r="F9" i="13"/>
  <c r="F8" i="13"/>
  <c r="F7" i="13"/>
  <c r="F6" i="13"/>
  <c r="F5" i="13"/>
  <c r="F4" i="13"/>
  <c r="BE142" i="11"/>
  <c r="BD142" i="11"/>
  <c r="BC142" i="11"/>
  <c r="BB142" i="11"/>
  <c r="BA142" i="11"/>
  <c r="AZ142" i="11"/>
  <c r="AY142" i="11"/>
  <c r="AX142" i="11"/>
  <c r="AW142" i="11"/>
  <c r="AV142" i="11"/>
  <c r="AU142" i="11"/>
  <c r="AT142" i="11"/>
  <c r="AS142" i="11"/>
  <c r="AR142" i="11"/>
  <c r="AQ142" i="11"/>
  <c r="AP142" i="11"/>
  <c r="AO142" i="11"/>
  <c r="AN142" i="11"/>
  <c r="AM142" i="11"/>
  <c r="AL142" i="11"/>
  <c r="AK142" i="11"/>
  <c r="AJ142" i="11"/>
  <c r="AI142" i="11"/>
  <c r="AH142" i="11"/>
  <c r="AG142" i="11"/>
  <c r="AF142" i="11"/>
  <c r="AE142" i="11"/>
  <c r="AD142" i="11"/>
  <c r="AC142" i="11"/>
  <c r="AB142" i="11"/>
  <c r="AA142" i="11"/>
  <c r="Z142" i="11"/>
  <c r="Y142" i="11"/>
  <c r="X142" i="11"/>
  <c r="W142" i="11"/>
  <c r="V142" i="11"/>
  <c r="U142" i="11"/>
  <c r="T142" i="11"/>
  <c r="S142" i="11"/>
  <c r="R142" i="11"/>
  <c r="Q142" i="11"/>
  <c r="P142" i="11"/>
  <c r="O142" i="11"/>
  <c r="N142" i="11"/>
  <c r="M142" i="11"/>
  <c r="L142" i="11"/>
  <c r="K142" i="11"/>
  <c r="J142" i="11"/>
  <c r="I142" i="11"/>
  <c r="H142" i="11"/>
  <c r="G142" i="11"/>
  <c r="F142" i="11"/>
  <c r="E142" i="11"/>
  <c r="D142" i="11"/>
  <c r="C142" i="11"/>
  <c r="P142" i="10"/>
  <c r="O142" i="10"/>
  <c r="N142" i="10"/>
  <c r="M142" i="10"/>
  <c r="L142" i="10"/>
  <c r="K142" i="10"/>
  <c r="J142" i="10"/>
  <c r="I142" i="10"/>
  <c r="H142" i="10"/>
  <c r="G142" i="10"/>
  <c r="F142" i="10"/>
  <c r="E142" i="10"/>
  <c r="D142" i="10"/>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6" i="9"/>
  <c r="J5" i="9"/>
  <c r="J4" i="9"/>
  <c r="S141" i="7"/>
  <c r="S140" i="7"/>
  <c r="S139" i="7"/>
  <c r="S138" i="7"/>
  <c r="S137" i="7"/>
  <c r="S136" i="7"/>
  <c r="S135" i="7"/>
  <c r="S134" i="7"/>
  <c r="S133" i="7"/>
  <c r="S132" i="7"/>
  <c r="S131" i="7"/>
  <c r="S130" i="7"/>
  <c r="S129" i="7"/>
  <c r="S128" i="7"/>
  <c r="S127" i="7"/>
  <c r="S126" i="7"/>
  <c r="S125" i="7"/>
  <c r="S124" i="7"/>
  <c r="S123" i="7"/>
  <c r="S122" i="7"/>
  <c r="S121" i="7"/>
  <c r="S120" i="7"/>
  <c r="S119" i="7"/>
  <c r="S118" i="7"/>
  <c r="S117" i="7"/>
  <c r="S116" i="7"/>
  <c r="S115" i="7"/>
  <c r="S114" i="7"/>
  <c r="S113" i="7"/>
  <c r="S112" i="7"/>
  <c r="S111" i="7"/>
  <c r="S110" i="7"/>
  <c r="S109" i="7"/>
  <c r="S108" i="7"/>
  <c r="S107" i="7"/>
  <c r="S106" i="7"/>
  <c r="S105" i="7"/>
  <c r="S104" i="7"/>
  <c r="S103" i="7"/>
  <c r="S102" i="7"/>
  <c r="S101" i="7"/>
  <c r="S100" i="7"/>
  <c r="S99" i="7"/>
  <c r="S98" i="7"/>
  <c r="S97" i="7"/>
  <c r="S96" i="7"/>
  <c r="S95" i="7"/>
  <c r="S94" i="7"/>
  <c r="S93" i="7"/>
  <c r="S92" i="7"/>
  <c r="S91" i="7"/>
  <c r="S90" i="7"/>
  <c r="S89" i="7"/>
  <c r="S88" i="7"/>
  <c r="S87" i="7"/>
  <c r="S86" i="7"/>
  <c r="S85" i="7"/>
  <c r="S84" i="7"/>
  <c r="S83" i="7"/>
  <c r="S82" i="7"/>
  <c r="S81" i="7"/>
  <c r="S80" i="7"/>
  <c r="S79" i="7"/>
  <c r="S78" i="7"/>
  <c r="S77" i="7"/>
  <c r="S76" i="7"/>
  <c r="S75" i="7"/>
  <c r="S74" i="7"/>
  <c r="S73" i="7"/>
  <c r="S72" i="7"/>
  <c r="S71" i="7"/>
  <c r="S70" i="7"/>
  <c r="S69" i="7"/>
  <c r="S68" i="7"/>
  <c r="S67" i="7"/>
  <c r="S66" i="7"/>
  <c r="S65" i="7"/>
  <c r="S64" i="7"/>
  <c r="S63" i="7"/>
  <c r="S62" i="7"/>
  <c r="S61" i="7"/>
  <c r="S60" i="7"/>
  <c r="S59" i="7"/>
  <c r="S58" i="7"/>
  <c r="S57" i="7"/>
  <c r="S56" i="7"/>
  <c r="S55" i="7"/>
  <c r="S54" i="7"/>
  <c r="S53" i="7"/>
  <c r="S52" i="7"/>
  <c r="S51" i="7"/>
  <c r="S50" i="7"/>
  <c r="S49" i="7"/>
  <c r="S48" i="7"/>
  <c r="S47" i="7"/>
  <c r="S46" i="7"/>
  <c r="S45" i="7"/>
  <c r="S44" i="7"/>
  <c r="S43" i="7"/>
  <c r="S42" i="7"/>
  <c r="S41" i="7"/>
  <c r="S40" i="7"/>
  <c r="S39" i="7"/>
  <c r="S38" i="7"/>
  <c r="S37" i="7"/>
  <c r="S36" i="7"/>
  <c r="S35" i="7"/>
  <c r="S34" i="7"/>
  <c r="S33" i="7"/>
  <c r="S32" i="7"/>
  <c r="S31" i="7"/>
  <c r="S30" i="7"/>
  <c r="S29" i="7"/>
  <c r="S28" i="7"/>
  <c r="S27" i="7"/>
  <c r="S26" i="7"/>
  <c r="S25" i="7"/>
  <c r="S24" i="7"/>
  <c r="S23" i="7"/>
  <c r="S22" i="7"/>
  <c r="S21" i="7"/>
  <c r="S20" i="7"/>
  <c r="S19" i="7"/>
  <c r="S18" i="7"/>
  <c r="S17" i="7"/>
  <c r="S16" i="7"/>
  <c r="S15" i="7"/>
  <c r="S14" i="7"/>
  <c r="S13" i="7"/>
  <c r="S12" i="7"/>
  <c r="S11" i="7"/>
  <c r="S10" i="7"/>
  <c r="S9" i="7"/>
  <c r="S8" i="7"/>
  <c r="S7" i="7"/>
  <c r="S6" i="7"/>
  <c r="S5" i="7"/>
  <c r="S4" i="7"/>
  <c r="H16" i="5"/>
  <c r="H15" i="5"/>
  <c r="H14" i="5"/>
  <c r="H13" i="5"/>
  <c r="H12" i="5"/>
  <c r="H11" i="5"/>
  <c r="H10" i="5"/>
  <c r="H9" i="5"/>
  <c r="H8" i="5"/>
  <c r="H7" i="5"/>
  <c r="H6" i="5"/>
  <c r="H5" i="5"/>
  <c r="H4" i="5"/>
  <c r="E24" i="3"/>
  <c r="E23" i="3"/>
  <c r="E22" i="3"/>
  <c r="E21" i="3"/>
  <c r="E20" i="3"/>
  <c r="E19" i="3"/>
  <c r="E18" i="3"/>
  <c r="E17" i="3"/>
  <c r="E16" i="3"/>
  <c r="E15" i="3"/>
  <c r="E14" i="3"/>
  <c r="E13" i="3"/>
  <c r="E12" i="3"/>
  <c r="E11" i="3"/>
  <c r="E10" i="3"/>
  <c r="E9" i="3"/>
  <c r="E8" i="3"/>
  <c r="E7" i="3"/>
  <c r="E6" i="3"/>
  <c r="E5" i="3"/>
  <c r="E4" i="3"/>
  <c r="G8" i="2"/>
  <c r="G7" i="2"/>
  <c r="G6" i="2"/>
  <c r="G5" i="2"/>
  <c r="G4" i="2"/>
  <c r="B23" i="1"/>
  <c r="B22" i="1"/>
  <c r="B21" i="1"/>
  <c r="B20" i="1"/>
  <c r="B19" i="1"/>
  <c r="B18" i="1"/>
  <c r="B17" i="1"/>
  <c r="B16" i="1"/>
  <c r="B15" i="1"/>
  <c r="B14" i="1"/>
  <c r="B13" i="1"/>
  <c r="B12" i="1"/>
</calcChain>
</file>

<file path=xl/sharedStrings.xml><?xml version="1.0" encoding="utf-8"?>
<sst xmlns="http://schemas.openxmlformats.org/spreadsheetml/2006/main" count="10880" uniqueCount="4218">
  <si>
    <t>ESPECIFICACIÓN DE REQUERIMIENTOS DE SOFTWARE (SRS)</t>
  </si>
  <si>
    <t>Plataforma de componentes transversales (TR)</t>
  </si>
  <si>
    <t>Conjunto de servicios, librerías y aplicaciones compartidas sobre los que se construyen los nueve productos (SazónPOS, PsicoAgenda, TurnoFácil, LibroPOS, GymControl, ClínicaNet, DocuFlujo, MercaWeb y JurisFlujo). Provee la estructura organizacional multi-tenant, la seguridad con permisos por alcance, catálogos, parámetros, correlativos, personas, identidad DNI/RUC, facturación electrónica, pagos, notificaciones, archivos, auditoría, eventos de dominio, reportes, IA, observabilidad, centro de soporte, gestor de contenidos web, portal del cliente final, integración externa y el agente local (edge). Se implementa como módulos NestJS 11 del monolito modular (hexagonal), librerías Angular 19 del monorepo Nx, esquemas PostgreSQL (Supabase) con RLS por tenant, Redis/BullMQ y Socket.IO.</t>
  </si>
  <si>
    <t>Versión</t>
  </si>
  <si>
    <t>1.0 — Base para el SDD</t>
  </si>
  <si>
    <t>Fecha</t>
  </si>
  <si>
    <t>10 de octubre de 2026</t>
  </si>
  <si>
    <t>Autor</t>
  </si>
  <si>
    <t>Israel Lozano (IsLozanDev) — Arquitectura y desarrollo</t>
  </si>
  <si>
    <t>Stack</t>
  </si>
  <si>
    <t>Backend NestJS 11 (monolito modular, hexagonal) · Frontend Angular 19 en monorepo Nx · PostgreSQL (Supabase) con RLS · Redis/BullMQ</t>
  </si>
  <si>
    <t>Documentos relacionados</t>
  </si>
  <si>
    <t>Definición de Producto y Arquitectura v1.2 · Componentes Transversales · Guía de Arquitectura de Código Backend · Plataforma de Operación</t>
  </si>
  <si>
    <t>Resumen</t>
  </si>
  <si>
    <t>Aplicaciones (frontends Nx)</t>
  </si>
  <si>
    <t>Módulos</t>
  </si>
  <si>
    <t>Actores</t>
  </si>
  <si>
    <t>Procesos de negocio</t>
  </si>
  <si>
    <t>Reglas de negocio</t>
  </si>
  <si>
    <t>Requerimientos funcionales (RF)</t>
  </si>
  <si>
    <t>RF prioridad Must</t>
  </si>
  <si>
    <t>RF de la fase MVP</t>
  </si>
  <si>
    <t>Criterios de aceptación (GWT)</t>
  </si>
  <si>
    <t>RNF propios del sistema</t>
  </si>
  <si>
    <t>RNF heredados de la plataforma</t>
  </si>
  <si>
    <t>Componentes transversales utilizados</t>
  </si>
  <si>
    <t>Contenido del libro</t>
  </si>
  <si>
    <t>Aplicaciones</t>
  </si>
  <si>
    <t>Frontends Angular del sistema (apps del monorepo Nx), tipo, usuarios</t>
  </si>
  <si>
    <t>Módulos funcionales y la aplicación donde viven</t>
  </si>
  <si>
    <t>Actores internos, externos y sistemas externos</t>
  </si>
  <si>
    <t>Procesos</t>
  </si>
  <si>
    <t>Procesos de negocio con disparador, pasos y resultado</t>
  </si>
  <si>
    <t>Reglas de negocio, cálculo, validación y normativas</t>
  </si>
  <si>
    <t>RF</t>
  </si>
  <si>
    <t>Requerimientos funcionales de bajo nivel: flujo, datos, permisos, reglas, trazas</t>
  </si>
  <si>
    <t>Criterios GWT</t>
  </si>
  <si>
    <t>Criterios de aceptación atómicos DADO QUE / CUANDO / ENTONCES, con estado de prueba</t>
  </si>
  <si>
    <t>RNF</t>
  </si>
  <si>
    <t>Requerimientos no funcionales (ISO/IEC 25010:2023): propios y heredados de la plataforma</t>
  </si>
  <si>
    <t>Matriz Proceso-RF</t>
  </si>
  <si>
    <t>Trazabilidad procesos × requerimientos funcionales</t>
  </si>
  <si>
    <t>Matriz RF-RNF</t>
  </si>
  <si>
    <t>Trazabilidad requerimientos funcionales × no funcionales</t>
  </si>
  <si>
    <t>Trazabilidad</t>
  </si>
  <si>
    <t>Vista plana proceso → RF → RNF → criterios → componentes (para importar al SDD)</t>
  </si>
  <si>
    <t>Componentes</t>
  </si>
  <si>
    <t>Matriz de componentes transversales y núcleos que el sistema usa, integra o extiende</t>
  </si>
  <si>
    <t>Consumidores</t>
  </si>
  <si>
    <t>Matriz componente × sistema consumidor</t>
  </si>
  <si>
    <t>Convenciones</t>
  </si>
  <si>
    <t>Prioridad (MoSCoW)</t>
  </si>
  <si>
    <t>Must = imprescindible para salir · Should = importante · Could = deseable · Won't = fuera de esta versión</t>
  </si>
  <si>
    <t>Fase</t>
  </si>
  <si>
    <t>MVP = primera versión vendible · R2 = segunda entrega · R3 = tercera entrega</t>
  </si>
  <si>
    <t>Tipo de criterio</t>
  </si>
  <si>
    <t>Positivo = camino feliz · Negativo = entrada inválida o regla incumplida · Borde = límite o concurrencia</t>
  </si>
  <si>
    <t>Criterio GWT atómico</t>
  </si>
  <si>
    <t>DADO QUE [contexto/precondición] · CUANDO [una acción del actor] · ENTONCES [resultado observable y verificable]</t>
  </si>
  <si>
    <t>Permiso</t>
  </si>
  <si>
    <t>Código producto.recurso.accion evaluado en la sucursal activa por el módulo de seguridad transversal</t>
  </si>
  <si>
    <t>TR-* = componentes transversales de plataforma · NU-* = núcleos de negocio compartidos por línea de productos</t>
  </si>
  <si>
    <t>Celdas a completar</t>
  </si>
  <si>
    <t>En «Criterios GWT», las columnas Estado de prueba y Observaciones (fondo amarillo) son para el equipo de QA</t>
  </si>
  <si>
    <t>Aplicaciones del sistema (frontends y servicios)</t>
  </si>
  <si>
    <t>Cada aplicación es un proyecto del monorepo Nx; comparten librerías comunes.</t>
  </si>
  <si>
    <t>ID</t>
  </si>
  <si>
    <t>Aplicación</t>
  </si>
  <si>
    <t>Tipo</t>
  </si>
  <si>
    <t>Tecnología / proyecto Nx</t>
  </si>
  <si>
    <t>Usuarios</t>
  </si>
  <si>
    <t>Descripción</t>
  </si>
  <si>
    <t>N.° RF</t>
  </si>
  <si>
    <t>APP-01</t>
  </si>
  <si>
    <t>Consola de plataforma</t>
  </si>
  <si>
    <t>Backoffice web</t>
  </si>
  <si>
    <t>Angular 19 · app Nx plataforma-consola</t>
  </si>
  <si>
    <t>Administrador de plataforma, agente de soporte</t>
  </si>
  <si>
    <t>Consola del equipo dueño de la plataforma: tenants y suscripciones, catálogos globales y tablas maestras, facturación a clientes, centro de soporte, observabilidad y salud por cliente, eventos fallidos e integridad de auditoría.</t>
  </si>
  <si>
    <t>APP-02</t>
  </si>
  <si>
    <t>Administración del cliente (embebible)</t>
  </si>
  <si>
    <t>Angular 19 · librería Nx plataforma-admin-cliente (rutas lazy embebidas en &lt;cod&gt;-backoffice)</t>
  </si>
  <si>
    <t>Administrador del cliente, encargado de facturación, editor de contenidos, oficial de datos personales</t>
  </si>
  <si>
    <t>Módulo de administración que cada producto monta en su backoffice: empresas, sucursales y unidades, usuarios, roles y perfiles, parámetros, catálogos propios, series, configuración de facturación y pagos, plantillas, CMS del sitio público, auditoría y derechos ARCO.</t>
  </si>
  <si>
    <t>APP-03</t>
  </si>
  <si>
    <t>API de servicios de plataforma</t>
  </si>
  <si>
    <t>Servicio</t>
  </si>
  <si>
    <t>NestJS 11 · módulos transversales del monolito modular + workers BullMQ</t>
  </si>
  <si>
    <t>Módulos de producto, workers, integradores externos</t>
  </si>
  <si>
    <t>Puertos y adaptadores de los componentes TR expuestos como API interna (inyección de módulos NestJS), REST /v1 y eventos de dominio; incluye los workers de emisión de comprobantes, mensajes, reportes, despacho de eventos y evaluación de alertas.</t>
  </si>
  <si>
    <t>APP-04</t>
  </si>
  <si>
    <t>Agente local (edge)</t>
  </si>
  <si>
    <t>Node.js 22 LTS · app Nx plataforma-edge (instalador Windows/Linux, SQLite cifrado)</t>
  </si>
  <si>
    <t>Equipos del local del cliente (POS, kiosco, pantallas)</t>
  </si>
  <si>
    <t>Servicio instalado en el local para impresión térmica, cajón de dinero, dispositivos (biométrico, kiosko, pantallas), operación sin internet con cola local y sincronización con la nube.</t>
  </si>
  <si>
    <t>APP-05</t>
  </si>
  <si>
    <t>Librerías Angular compartidas y shell del portal</t>
  </si>
  <si>
    <t>Angular 19 · librerías Nx ui-diseno, shell-backoffice, seguridad-cliente, portal-shell, soporte-widget</t>
  </si>
  <si>
    <t>Usuarios internos de los productos y clientes finales en los &lt;cod&gt;-web</t>
  </si>
  <si>
    <t>Sistema de diseño, shell de backoffice (selector de sucursal, menú por permisos, notificaciones), cliente de seguridad OIDC, shell del portal del cliente final (registro, OTP, perfil, consentimientos) y widget de soporte con contexto automático.</t>
  </si>
  <si>
    <t>Módulos funcionales</t>
  </si>
  <si>
    <t xml:space="preserve"> </t>
  </si>
  <si>
    <t>Módulo</t>
  </si>
  <si>
    <t>MOD-01</t>
  </si>
  <si>
    <t>Organización y suscripciones (TR-ORG)</t>
  </si>
  <si>
    <t>APP-01 · Consola de plataforma</t>
  </si>
  <si>
    <t>Tenant, empresa, sucursal, unidad operativa, suscripción por producto, límites y facturación de la plataforma.</t>
  </si>
  <si>
    <t>MOD-02</t>
  </si>
  <si>
    <t>Seguridad y accesos (TR-SEG)</t>
  </si>
  <si>
    <t>APP-02 · Administración del cliente (embebible)</t>
  </si>
  <si>
    <t>Manifiesto funcional, usuarios, membresías, roles, perfiles, asignaciones con alcance, permisos efectivos, MFA, sesiones y acceso de soporte.</t>
  </si>
  <si>
    <t>MOD-03</t>
  </si>
  <si>
    <t>Catálogos y tablas maestras (TR-CAT)</t>
  </si>
  <si>
    <t>Catálogos globales, mixtos y por tenant, ítems con vigencia, personalización por tenant, tablas oficiales y feriados.</t>
  </si>
  <si>
    <t>MOD-04</t>
  </si>
  <si>
    <t>Parámetros jerárquicos (TR-CFG)</t>
  </si>
  <si>
    <t>Definición, valores por alcance, resolución con herencia e historial de parámetros.</t>
  </si>
  <si>
    <t>MOD-05</t>
  </si>
  <si>
    <t>Correlativos y series (TR-SEQ)</t>
  </si>
  <si>
    <t>Series por alcance, numeración atómica, reinicio por periodo y bloques para operación offline.</t>
  </si>
  <si>
    <t>MOD-06</t>
  </si>
  <si>
    <t>Personas (TR-PER)</t>
  </si>
  <si>
    <t>APP-03 · API de servicios de plataforma</t>
  </si>
  <si>
    <t>Maestro de personas naturales y jurídicas por tenant, contactos, direcciones, roles por producto, duplicados y consentimientos.</t>
  </si>
  <si>
    <t>MOD-07</t>
  </si>
  <si>
    <t>Identidad e interoperabilidad (TR-IDN)</t>
  </si>
  <si>
    <t>Validación y consulta DNI/RUC con caché, proveedores, cuota y bitácora; identidad portable autorizada por el titular.</t>
  </si>
  <si>
    <t>MOD-08</t>
  </si>
  <si>
    <t>Facturación electrónica (TR-FE)</t>
  </si>
  <si>
    <t>Emisor, comprobantes UBL 2.1, envío a PSE/OSE, CDR, resumen diario, baja, contingencia, PDF y monitoreo.</t>
  </si>
  <si>
    <t>MOD-09</t>
  </si>
  <si>
    <t>Pagos y conciliación (TR-PAG)</t>
  </si>
  <si>
    <t>Pasarelas, intención de cobro, Yape/Plin, links de pago, webhooks, reembolsos, recurrencia y conciliación.</t>
  </si>
  <si>
    <t>MOD-10</t>
  </si>
  <si>
    <t>Notificaciones (TR-NOT)</t>
  </si>
  <si>
    <t>Plantillas multicanal, envío transaccional, recordatorios, preferencias, plantillas WhatsApp y estados de entrega.</t>
  </si>
  <si>
    <t>MOD-11</t>
  </si>
  <si>
    <t>Archivos (TR-ARC)</t>
  </si>
  <si>
    <t>Carga validada, versiones, URLs firmadas, retención y bloqueo legal.</t>
  </si>
  <si>
    <t>MOD-12</t>
  </si>
  <si>
    <t>Auditoría y datos personales (TR-AUD)</t>
  </si>
  <si>
    <t>Auditoría inmutable, accesos sensibles, integridad, solicitudes ARCO e incidentes de seguridad.</t>
  </si>
  <si>
    <t>MOD-13</t>
  </si>
  <si>
    <t>Eventos de dominio (TR-EVT)</t>
  </si>
  <si>
    <t>Outbox transaccional, catálogo de eventos, despacho a suscriptores, reintentos y cola de eventos fallidos.</t>
  </si>
  <si>
    <t>MOD-14</t>
  </si>
  <si>
    <t>Reportes y tableros (TR-REP)</t>
  </si>
  <si>
    <t>Definición declarativa de reportes, ejecución y exportación, programación de envíos y tableros por rol.</t>
  </si>
  <si>
    <t>MOD-15</t>
  </si>
  <si>
    <t>Servicios de IA (TR-IA)</t>
  </si>
  <si>
    <t>Pasarela de modelos, enmascaramiento, extracción documental, RAG, agente conversacional, copiloto analítico y control de consumo.</t>
  </si>
  <si>
    <t>MOD-16</t>
  </si>
  <si>
    <t>Observabilidad (TR-OBS)</t>
  </si>
  <si>
    <t>Indicadores de negocio por minuto, reglas de alerta, evaluación, salud por tenant y sucursal.</t>
  </si>
  <si>
    <t>MOD-17</t>
  </si>
  <si>
    <t>Centro de soporte (TR-SOP)</t>
  </si>
  <si>
    <t>Tickets con contexto, SLA por plan, ciclo de vida, escalamiento, problemas en GitHub y base de conocimiento.</t>
  </si>
  <si>
    <t>MOD-18</t>
  </si>
  <si>
    <t>Gestor de contenidos web (TR-CMS)</t>
  </si>
  <si>
    <t>Sitio público por tenant: dominio, marca, páginas por bloques, menús, medios, noticias, SEO, formularios y versiones.</t>
  </si>
  <si>
    <t>MOD-19</t>
  </si>
  <si>
    <t>Portal del cliente final (TR-POR)</t>
  </si>
  <si>
    <t>APP-05 · Librerías Angular compartidas y shell del portal</t>
  </si>
  <si>
    <t>Registro y acceso de clientes externos, perfil, consentimientos y vista consolidada de transacciones.</t>
  </si>
  <si>
    <t>MOD-20</t>
  </si>
  <si>
    <t>Integración externa (TR-INT)</t>
  </si>
  <si>
    <t>Clientes de API, API pública versionada, webhooks salientes y sincronización con bases institucionales.</t>
  </si>
  <si>
    <t>MOD-21</t>
  </si>
  <si>
    <t>Agente local (TR-EDGE)</t>
  </si>
  <si>
    <t>APP-04 · Agente local (edge)</t>
  </si>
  <si>
    <t>Enrolamiento, impresión térmica, cajón, cola offline, sincronización, dispositivos y actualización remota.</t>
  </si>
  <si>
    <t>Actor</t>
  </si>
  <si>
    <t>ACT-01</t>
  </si>
  <si>
    <t>Administrador de plataforma</t>
  </si>
  <si>
    <t>Interno</t>
  </si>
  <si>
    <t>Integrante del equipo dueño de la plataforma; da de alta clientes, gestiona suscripciones, catálogos globales y operación.</t>
  </si>
  <si>
    <t>ACT-02</t>
  </si>
  <si>
    <t>Agente de soporte (N1/N2)</t>
  </si>
  <si>
    <t>Atiende tickets de los clientes de los nueve productos; N2 analiza causa raíz y coordina con ingeniería.</t>
  </si>
  <si>
    <t>ACT-03</t>
  </si>
  <si>
    <t>Administrador del cliente</t>
  </si>
  <si>
    <t>Usuario propietario o administrador del tenant; configura empresas, sucursales, usuarios, roles y parámetros.</t>
  </si>
  <si>
    <t>ACT-04</t>
  </si>
  <si>
    <t>Usuario operativo del producto</t>
  </si>
  <si>
    <t>Cajero, recepcionista, mozo, operador de ventanilla o asistente que usa un producto apoyado en la plataforma.</t>
  </si>
  <si>
    <t>ACT-05</t>
  </si>
  <si>
    <t>Cliente final / titular de datos</t>
  </si>
  <si>
    <t>Externo</t>
  </si>
  <si>
    <t>Persona natural o jurídica atendida por un tenant (cliente, paciente, socio, administrado) y titular de sus datos personales.</t>
  </si>
  <si>
    <t>ACT-06</t>
  </si>
  <si>
    <t>Encargado de facturación del cliente</t>
  </si>
  <si>
    <t>Contador o asistente que configura el emisor electrónico y monitorea comprobantes y conciliaciones.</t>
  </si>
  <si>
    <t>ACT-07</t>
  </si>
  <si>
    <t>Editor de contenidos web</t>
  </si>
  <si>
    <t>Usuario del cliente que administra páginas, noticias, banners y SEO del sitio público.</t>
  </si>
  <si>
    <t>ACT-08</t>
  </si>
  <si>
    <t>Módulo de producto consumidor</t>
  </si>
  <si>
    <t>Sistema externo</t>
  </si>
  <si>
    <t>Módulo NestJS de un producto (rest, psi, col, lib, gym, cli, doc, eco, lex) o núcleo que invoca los puertos de la plataforma.</t>
  </si>
  <si>
    <t>ACT-09</t>
  </si>
  <si>
    <t>PSE/OSE y SUNAT</t>
  </si>
  <si>
    <t>Proveedor de servicios electrónicos u operador de servicios electrónicos que valida y envía comprobantes a SUNAT y devuelve el CDR.</t>
  </si>
  <si>
    <t>ACT-10</t>
  </si>
  <si>
    <t>Pasarela de pagos</t>
  </si>
  <si>
    <t>Procesador de tarjetas, billeteras Yape/Plin y links de pago que notifica por webhook firmado.</t>
  </si>
  <si>
    <t>ACT-11</t>
  </si>
  <si>
    <t>Proveedor de identidad pública</t>
  </si>
  <si>
    <t>Convenio RENIEC o proveedor autorizado de consulta DNI y padrón RUC de SUNAT.</t>
  </si>
  <si>
    <t>ACT-12</t>
  </si>
  <si>
    <t>Proveedor de mensajería</t>
  </si>
  <si>
    <t>Servicio de correo transaccional, SMS, WhatsApp Business API y push.</t>
  </si>
  <si>
    <t>ACT-13</t>
  </si>
  <si>
    <t>Proveedor de identidad OIDC (IdP)</t>
  </si>
  <si>
    <t>Keycloak o Supabase Auth: autenticación, contraseñas, MFA y emisión de tokens.</t>
  </si>
  <si>
    <t>ACT-14</t>
  </si>
  <si>
    <t>Sistema institucional o integrador</t>
  </si>
  <si>
    <t>Base de datos institucional (p. ej. SQL Server de una municipalidad) o sistema de terceros que consume la API, webhooks o el flujo de sincronización.</t>
  </si>
  <si>
    <t>ACT-15</t>
  </si>
  <si>
    <t>Planificador de tareas</t>
  </si>
  <si>
    <t>Workers BullMQ y pg_cron que ejecutan procesos programados (vencimientos, resúmenes, evaluaciones, purgas).</t>
  </si>
  <si>
    <t>ACT-16</t>
  </si>
  <si>
    <t>Proveedor de modelos de IA</t>
  </si>
  <si>
    <t>Proveedor intercambiable de modelos de lenguaje, embeddings, OCR y voz.</t>
  </si>
  <si>
    <t>ACT-17</t>
  </si>
  <si>
    <t>GitHub</t>
  </si>
  <si>
    <t>Repositorio y backlog de ingeniería donde se registran los issues vinculados a problemas de soporte.</t>
  </si>
  <si>
    <t>ACT-18</t>
  </si>
  <si>
    <t>Responsable de datos personales del cliente</t>
  </si>
  <si>
    <t>Persona designada por el tenant para atender derechos ARCO, consentimientos e incidentes ante la ANPD.</t>
  </si>
  <si>
    <t>Proceso</t>
  </si>
  <si>
    <t>Disparador</t>
  </si>
  <si>
    <t>Pasos</t>
  </si>
  <si>
    <t>Resultado</t>
  </si>
  <si>
    <t>TR-P01</t>
  </si>
  <si>
    <t>Alta y configuración de tenant</t>
  </si>
  <si>
    <t>Incorporación de un nuevo cliente: tenant, suscripción, empresa, sucursales, unidades y usuario administrador, hasta dejarlo operativo en su producto.</t>
  </si>
  <si>
    <t>Administrador de plataforma, Administrador del cliente, Proveedor de identidad OIDC (IdP), Proveedor de mensajería, Planificador de tareas</t>
  </si>
  <si>
    <t>Firma de contrato o registro de prueba gratuita</t>
  </si>
  <si>
    <t>1. El administrador de plataforma inicia el asistente de alta con el nombre comercial y el producto contratado.
2. El sistema crea el tenant en estado PRUEBA o ACTIVO y la suscripción con plan y límites.
3. Se registra la empresa con su RUC validado contra el padrón y su sucursal principal (establecimiento 0000).
4. Se invita al administrador del cliente; el IdP crea la cuenta y el sistema la vincula como propietario.
5. El administrador del cliente completa sucursales, unidades operativas, parámetros y series.
6. El planificador controla vencimientos de prueba y suscripción y notifica antes del corte.</t>
  </si>
  <si>
    <t>Tenant activo con suscripción vigente, estructura organizacional y administrador con acceso</t>
  </si>
  <si>
    <t>TR-P02</t>
  </si>
  <si>
    <t>Gestión de seguridad y accesos</t>
  </si>
  <si>
    <t>Administración de usuarios, membresías, roles, perfiles y asignaciones con alcance, incluido el acceso temporal del equipo de soporte.</t>
  </si>
  <si>
    <t>Administrador del cliente, Usuario operativo del producto, Proveedor de identidad OIDC (IdP), Agente de soporte (N1/N2), Módulo de producto consumidor</t>
  </si>
  <si>
    <t>Ingreso, cambio de puesto o salida de un colaborador; despliegue de una nueva versión de producto</t>
  </si>
  <si>
    <t>1. El despliegue aplica el manifiesto del producto (módulos, opciones, permisos).
2. El administrador del cliente invita al usuario y le asigna un perfil o rol con alcance y vigencia.
3. El usuario acepta la invitación y se autentica en el IdP.
4. Al iniciar sesión elige empresa y sucursal; el sistema calcula permisos efectivos y menú.
5. Las acciones sensibles exigen MFA reciente y quedan auditadas.
6. Las asignaciones se revocan o vencen y las sesiones se cierran cuando corresponde.</t>
  </si>
  <si>
    <t>Usuarios con permisos efectivos acordes a su puesto y alcance, con trazabilidad completa</t>
  </si>
  <si>
    <t>TR-P03</t>
  </si>
  <si>
    <t>Gestión de catálogos y parámetros</t>
  </si>
  <si>
    <t>Mantenimiento de catálogos globales y propios, tablas maestras oficiales, parámetros jerárquicos y series de numeración.</t>
  </si>
  <si>
    <t>Administrador de plataforma, Administrador del cliente, Módulo de producto consumidor</t>
  </si>
  <si>
    <t>Cambio normativo, nueva versión de tabla oficial o necesidad de configuración del cliente</t>
  </si>
  <si>
    <t>1. El administrador de plataforma actualiza catálogos globales o importa la nueva versión de una tabla oficial.
2. El sistema publica catalogo.actualizado e invalida cachés.
3. El administrador del cliente ajusta ítems globales o registra ítems propios en catálogos mixtos.
4. El administrador del cliente define valores de parámetros por alcance y series por establecimiento.
5. Los productos resuelven catálogos, parámetros y correlativos mediante los puertos de la plataforma.</t>
  </si>
  <si>
    <t>Catálogos, parámetros y series vigentes y consistentes para todos los productos</t>
  </si>
  <si>
    <t>TR-P04</t>
  </si>
  <si>
    <t>Emisión de comprobantes electrónicos</t>
  </si>
  <si>
    <t>Generación, firma, envío y seguimiento de comprobantes electrónicos SUNAT desde cualquier producto.</t>
  </si>
  <si>
    <t>Módulo de producto consumidor, Encargado de facturación del cliente, PSE/OSE y SUNAT, Cliente final / titular de datos, Planificador de tareas</t>
  </si>
  <si>
    <t>Un producto confirma una venta o un ajuste que requiere comprobante</t>
  </si>
  <si>
    <t>1. El producto solicita la emisión con los datos de la venta y el tipo de comprobante.
2. El sistema valida adquirente, montos e impuestos y asigna serie y número.
3. Se genera el XML UBL 2.1, se firma con el certificado del emisor y se encola el envío.
4. El worker envía al PSE/OSE y procesa el CDR o la respuesta de error.
5. Las boletas se informan en resumen diario y las anulaciones con comunicación de baja o nota de crédito.
6. Se genera la representación impresa y se envía al cliente; los pendientes se monitorean hasta su estado final.</t>
  </si>
  <si>
    <t>Comprobante aceptado con CDR, PDF disponible y entregado al cliente, o incidencia gestionada</t>
  </si>
  <si>
    <t>TR-P05</t>
  </si>
  <si>
    <t>Cobros y conciliación</t>
  </si>
  <si>
    <t>Cobro a clientes finales con medios electrónicos, confirmación por webhook, reembolsos, cobros recurrentes y conciliación con la liquidación de la pasarela; incluye el cobro de la suscripción del tenant.</t>
  </si>
  <si>
    <t>Módulo de producto consumidor, Usuario operativo del producto, Cliente final / titular de datos, Pasarela de pagos, Encargado de facturación del cliente, Administrador de plataforma</t>
  </si>
  <si>
    <t>Una venta, cita, membresía o pedido requiere cobro electrónico; cierre diario de liquidaciones</t>
  </si>
  <si>
    <t>1. El producto crea una intención de cobro o un link de pago.
2. El cliente paga con tarjeta, Yape o Plin en la pasarela.
3. La pasarela notifica por webhook firmado; el sistema confirma el pago y publica pago.confirmado.
4. Los reembolsos se solicitan con motivo y se confirman por webhook.
5. Diariamente se importa la liquidación y se concilia contra los pagos registrados.</t>
  </si>
  <si>
    <t>Pagos confirmados, reembolsos registrados y diferencias de conciliación identificadas</t>
  </si>
  <si>
    <t>TR-P06</t>
  </si>
  <si>
    <t>Envío de notificaciones</t>
  </si>
  <si>
    <t>Comunicación con clientes finales y usuarios internos por correo, SMS, WhatsApp y push, transaccional o programada.</t>
  </si>
  <si>
    <t>Módulo de producto consumidor, Administrador del cliente, Cliente final / titular de datos, Proveedor de mensajería, Planificador de tareas</t>
  </si>
  <si>
    <t>Un evento de negocio o un recordatorio programado requiere avisar a una persona</t>
  </si>
  <si>
    <t>1. El producto solicita el envío indicando plantilla, destinatario y variables, o programa un recordatorio.
2. El sistema verifica preferencias, consentimiento y bajas del destinatario.
3. Renderiza la plantilla del canal y la entrega al proveedor de mensajería.
4. Recibe el estado de entrega; ante fallo reintenta o cambia de canal.
5. El destinatario gestiona sus preferencias o se da de baja.</t>
  </si>
  <si>
    <t>Mensaje entregado por el canal preferido o fallo registrado con reintento</t>
  </si>
  <si>
    <t>TR-P07</t>
  </si>
  <si>
    <t>Gestión de contenidos web (CMS)</t>
  </si>
  <si>
    <t>Construcción y publicación del sitio público del tenant y del portal del cliente final.</t>
  </si>
  <si>
    <t>Editor de contenidos web, Administrador del cliente, Cliente final / titular de datos</t>
  </si>
  <si>
    <t>El cliente necesita publicar o actualizar su sitio, campañas o información</t>
  </si>
  <si>
    <t>1. El administrador configura dominio o subdominio y la identidad de marca.
2. El editor crea páginas por bloques, menús, medios y noticias.
3. Previsualiza y publica de inmediato o programa la publicación.
4. El sitio se sirve por SSR con caché e invalidación al publicar.
5. Los visitantes envían formularios y se registran en el portal del cliente.</t>
  </si>
  <si>
    <t>Sitio publicado en su dominio con contenido vigente, SEO y formularios operativos</t>
  </si>
  <si>
    <t>TR-P08</t>
  </si>
  <si>
    <t>Atención de soporte</t>
  </si>
  <si>
    <t>Gestión de tickets de los clientes de los nueve productos desde su registro hasta el cierre, con SLA por plan.</t>
  </si>
  <si>
    <t>Usuario operativo del producto, Administrador del cliente, Agente de soporte (N1/N2), GitHub, Planificador de tareas</t>
  </si>
  <si>
    <t>Un usuario reporta un incidente o consulta, o una alerta crea un ticket automático</t>
  </si>
  <si>
    <t>1. El usuario crea un ticket desde el widget; el sistema adjunta contexto técnico y calcula prioridad y plazos.
2. El agente N1 analiza, responde y, si requiere, pide información al cliente (pausa de SLA).
3. Si no lo resuelve, escala a N2 y se vincula a un problema con issue en GitHub.
4. Al publicar la corrección se resuelve el problema y sus tickets.
5. El cliente confirma o el ticket se cierra automáticamente.</t>
  </si>
  <si>
    <t>Ticket resuelto dentro del SLA, problema raíz enlazado y cliente informado</t>
  </si>
  <si>
    <t>TR-P09</t>
  </si>
  <si>
    <t>Observabilidad y alertas</t>
  </si>
  <si>
    <t>Medición de indicadores de negocio por cliente y sucursal, detección de anomalías y alerta temprana.</t>
  </si>
  <si>
    <t>Planificador de tareas, Administrador de plataforma, Agente de soporte (N1/N2), Administrador del cliente</t>
  </si>
  <si>
    <t>Eventos de dominio de los productos; ejecución programada del evaluador cada minuto</t>
  </si>
  <si>
    <t>1. Los productos declaran indicadores en su manifiesto.
2. El consumidor de eventos registra la métrica por minuto.
3. El evaluador compara contra umbrales, ausencia de datos o línea base.
4. Abre o resuelve alertas, notifica y crea tickets si la regla lo indica.
5. El equipo revisa el tablero de salud por tenant y sucursal.</t>
  </si>
  <si>
    <t>Alertas abiertas y resueltas automáticamente, salud por cliente visible y tickets creados cuando corresponde</t>
  </si>
  <si>
    <t>TR-P10</t>
  </si>
  <si>
    <t>Consulta de identidad e interoperabilidad</t>
  </si>
  <si>
    <t>Identificación de personas con DNI/RUC, maestro de personas compartido entre productos del tenant e identidad portable autorizada por el titular.</t>
  </si>
  <si>
    <t>Usuario operativo del producto, Módulo de producto consumidor, Proveedor de identidad pública, Cliente final / titular de datos</t>
  </si>
  <si>
    <t>Registro de un cliente, paciente o socio, o emisión de un comprobante que requiere identificar al adquirente</t>
  </si>
  <si>
    <t>1. El usuario digita el tipo y número de documento.
2. El sistema valida el formato y busca en caché; si no existe, consulta al proveedor con control de cuota.
3. Registra o reutiliza la persona del tenant y le asigna el rol del producto.
4. Si el titular tiene identidad portable, el tenant solicita autorización y el titular la confirma con un código.
5. El sistema entrega solo los campos autorizados y registra cada acceso.</t>
  </si>
  <si>
    <t>Persona identificada con datos de fuente oficial y, si el titular autoriza, datos portables incorporados</t>
  </si>
  <si>
    <t>TR-P11</t>
  </si>
  <si>
    <t>Auditoría y cumplimiento de datos personales (ARCO)</t>
  </si>
  <si>
    <t>Registro inmutable de operaciones críticas, atención de derechos ARCO, consentimientos e incidentes conforme a la Ley 29733.</t>
  </si>
  <si>
    <t>Administrador del cliente, Responsable de datos personales del cliente, Cliente final / titular de datos, Administrador de plataforma</t>
  </si>
  <si>
    <t>Operación crítica, acceso a dato sensible, solicitud del titular o incidente de seguridad</t>
  </si>
  <si>
    <t>1. Los productos registran operaciones críticas y accesos sensibles en la auditoría.
2. El titular presenta una solicitud ARCO desde el portal o el tenant la registra.
3. El responsable compila los datos, decide y responde dentro del plazo legal.
4. Las cancelaciones anonimizan respetando plazos de conservación obligatoria.
5. Los incidentes se registran y se notifican a la ANPD y a los titulares cuando corresponde.</t>
  </si>
  <si>
    <t>Evidencia íntegra y verificable; solicitudes atendidas en plazo; incidentes notificados</t>
  </si>
  <si>
    <t>TR-P12</t>
  </si>
  <si>
    <t>Integración externa y sincronización</t>
  </si>
  <si>
    <t>Intercambio con sistemas de terceros y bases institucionales mediante eventos, API pública, webhooks y el agente local.</t>
  </si>
  <si>
    <t>Módulo de producto consumidor, Sistema institucional o integrador, Planificador de tareas, Administrador de plataforma, Usuario operativo del producto</t>
  </si>
  <si>
    <t>Cambio de un agregado de negocio, solicitud de un integrador o recuperación de conectividad del local</t>
  </si>
  <si>
    <t>1. El módulo de producto publica el evento en el outbox dentro de su transacción.
2. El despachador entrega el evento a suscriptores internos y webhooks salientes.
3. Los conectores institucionales leen por cursor y confirman el último evento procesado.
4. El agente local sincroniza su cola offline y descarga configuración.
5. Se concilian conteos diarios y se reprocesan los eventos fallidos.</t>
  </si>
  <si>
    <t>Sistemas externos y locales sincronizados, con entrega confirmada y conciliación diaria</t>
  </si>
  <si>
    <t>TR-P13</t>
  </si>
  <si>
    <t>Reportes y analítica</t>
  </si>
  <si>
    <t>Generación de reportes operativos y de gestión, tableros por rol y análisis asistido por IA.</t>
  </si>
  <si>
    <t>Administrador del cliente, Usuario operativo del producto, Encargado de facturación del cliente, Planificador de tareas, Proveedor de modelos de IA</t>
  </si>
  <si>
    <t>Necesidad de información de gestión o envío programado</t>
  </si>
  <si>
    <t>1. El producto declara sus reportes y tableros en el manifiesto.
2. El usuario selecciona un reporte, define filtros y lo ejecuta o programa.
3. El motor aplica alcance y permisos, ejecuta la consulta y genera Excel o PDF.
4. Los reportes programados se envían por correo; el copiloto responde preguntas con consultas predefinidas.</t>
  </si>
  <si>
    <t>Reporte o tablero entregado con datos del alcance permitido al usuario</t>
  </si>
  <si>
    <t>Regla</t>
  </si>
  <si>
    <t>Fuente</t>
  </si>
  <si>
    <t>TR-RN-001</t>
  </si>
  <si>
    <t>Toda entidad de negocio pertenece a la jerarquía tenant → empresa (RUC) → sucursal (establecimiento) → unidad operativa y lleva tenant_id; ninguna consulta puede cruzar tenants.</t>
  </si>
  <si>
    <t>Negocio</t>
  </si>
  <si>
    <t>ADR de arquitectura multi-tenant; transversal/sql/01_org</t>
  </si>
  <si>
    <t>TR-RN-002</t>
  </si>
  <si>
    <t>El RUC tiene 11 dígitos, inicia con 10, 15, 17 o 20 y su último dígito cumple el algoritmo módulo 11 de SUNAT; el DNI tiene 8 dígitos numéricos.</t>
  </si>
  <si>
    <t>Validación</t>
  </si>
  <si>
    <t>SUNAT (algoritmo de dígito verificador); RENIEC</t>
  </si>
  <si>
    <t>TR-RN-003</t>
  </si>
  <si>
    <t>Cada empresa tiene exactamente una sucursal principal; el código de establecimiento SUNAT tiene 4 dígitos y el domicilio fiscal es 0000.</t>
  </si>
  <si>
    <t>SUNAT — establecimientos anexos del RUC</t>
  </si>
  <si>
    <t>TR-RN-004</t>
  </si>
  <si>
    <t>Una unidad operativa debe pertenecer a una sucursal, salvo las de tipo ALMACEN, que pueden pertenecer directamente a la empresa (almacén central).</t>
  </si>
  <si>
    <t>transversal/sql/01_org (ck_unidad_sin_sucursal)</t>
  </si>
  <si>
    <t>TR-RN-005</t>
  </si>
  <si>
    <t>Estados del tenant: PRUEBA → ACTIVO → SUSPENDIDO → BAJA. Un tenant SUSPENDIDO solo permite lectura, pago de deuda, exportación de datos y soporte; BAJA conserva los datos 90 días antes de su eliminación definitiva.</t>
  </si>
  <si>
    <t>Política comercial de la plataforma</t>
  </si>
  <si>
    <t>TR-RN-006</t>
  </si>
  <si>
    <t>Un producto sin suscripción vigente (ACTIVA o PRUEBA) no otorga permisos; no se pueden crear sucursales ni usuarios por encima de los límites del plan.</t>
  </si>
  <si>
    <t>transversal/sql/02_seg (permisos_efectivos); contrato de suscripción</t>
  </si>
  <si>
    <t>TR-RN-007</t>
  </si>
  <si>
    <t>Los permisos tienen el código producto.recurso.accion y se evalúan por alcance: TENANT cubre todas las empresas y sucursales; EMPRESA, sus sucursales y unidades; SUCURSAL, sus unidades; UNIDAD, solo esa unidad. Los permisos PLAT no dependen de suscripción.</t>
  </si>
  <si>
    <t>transversal/sql/02_seg</t>
  </si>
  <si>
    <t>TR-RN-008</t>
  </si>
  <si>
    <t>Una asignación tiene un rol o un perfil, nunca ambos ni ninguno, y su alcance debe ser coherente con la empresa, sucursal o unidad informada; la vigencia hasta no puede ser anterior a la vigencia desde.</t>
  </si>
  <si>
    <t>transversal/sql/02_seg (ck_asig_rol_o_perfil, ck_asig_alcance)</t>
  </si>
  <si>
    <t>TR-RN-009</t>
  </si>
  <si>
    <t>Los permisos marcados como sensibles (anular, reembolsar, exportar datos personales, cambiar series, otorgar roles) exigen MFA con antigüedad máxima de 15 minutos y quedan auditados.</t>
  </si>
  <si>
    <t>TR-RNF-009; política de seguridad</t>
  </si>
  <si>
    <t>TR-RN-010</t>
  </si>
  <si>
    <t>Todo tenant debe tener al menos un propietario con membresía ACTIVA; no se puede suspender, revocar ni dar de baja al último propietario.</t>
  </si>
  <si>
    <t>Política de seguridad de la plataforma</t>
  </si>
  <si>
    <t>TR-RN-011</t>
  </si>
  <si>
    <t>El acceso del equipo de soporte a datos de un tenant requiere autorización expresa del administrador del cliente, con motivo, ticket asociado y vigencia máxima de 4 horas; cada acción se audita como ACCESO_SOPORTE.</t>
  </si>
  <si>
    <t>Ley 29733 (encargado de tratamiento); TR-RNF-013</t>
  </si>
  <si>
    <t>TR-RN-012</t>
  </si>
  <si>
    <t>Los catálogos GLOBAL normativos (SUNAT, INEI, ISO) no son editables por el tenant; los MIXTO admiten ítems propios y ajustes (ocultar, reordenar, alias) sobre los globales; los TENANT son íntegramente del cliente.</t>
  </si>
  <si>
    <t>data/arquitectura.js (ARQ-04); transversal/sql/04_cat</t>
  </si>
  <si>
    <t>TR-RN-013</t>
  </si>
  <si>
    <t>Un ítem de catálogo referenciado por datos de negocio no se elimina: se inactiva o se cierra su vigencia; el código de un ítem es único por catálogo y tenant.</t>
  </si>
  <si>
    <t>transversal/sql/04_cat (ux_cat_item)</t>
  </si>
  <si>
    <t>TR-RN-014</t>
  </si>
  <si>
    <t>El valor efectivo de un parámetro se resuelve de lo más específico a lo más general: sucursal → empresa → tenant → valor por defecto; no se admite un valor en un alcance más específico que el alcance máximo definido.</t>
  </si>
  <si>
    <t>Cálculo</t>
  </si>
  <si>
    <t>transversal/sql/03_cfg (cfg.valor)</t>
  </si>
  <si>
    <t>TR-RN-015</t>
  </si>
  <si>
    <t>El valor de un parámetro debe corresponder a su tipo (TEXTO, NUMERO, BOOLEANO, JSON) y, cuando exista, a su esquema y rango permitido.</t>
  </si>
  <si>
    <t>transversal/sql/03_cfg</t>
  </si>
  <si>
    <t>TR-RN-016</t>
  </si>
  <si>
    <t>La numeración es atómica, sin duplicados ni huecos, por empresa, tipo y serie; el reinicio puede ser NUNCA, ANUAL o DIARIO y se aplica al primer número del nuevo periodo.</t>
  </si>
  <si>
    <t>transversal/sql/04_seq (seq.siguiente)</t>
  </si>
  <si>
    <t>TR-RN-017</t>
  </si>
  <si>
    <t>Las series de comprobantes electrónicos tienen 4 caracteres: F### para facturas y sus notas, B### para boletas y sus notas; el correlativo es numérico de hasta 8 dígitos.</t>
  </si>
  <si>
    <t>Normativa</t>
  </si>
  <si>
    <t>R.S. N.° 097-2012/SUNAT y modificatorias (verificar)</t>
  </si>
  <si>
    <t>TR-RN-018</t>
  </si>
  <si>
    <t>Las boletas de venta cuyo importe total supere S/ 700,00 deben consignar el tipo y número de documento de identidad y los nombres del adquirente.</t>
  </si>
  <si>
    <t>Reglamento de Comprobantes de Pago, R.S. N.° 007-99/SUNAT (verificar monto vigente)</t>
  </si>
  <si>
    <t>TR-RN-019</t>
  </si>
  <si>
    <t>La factura exige que el adquirente tenga RUC; el sistema advierte cuando el RUC figura con estado distinto de ACTIVO o condición NO HABIDO según el padrón.</t>
  </si>
  <si>
    <t>Reglamento de Comprobantes de Pago (verificar)</t>
  </si>
  <si>
    <t>TR-RN-020</t>
  </si>
  <si>
    <t>Las facturas y sus notas deben enviarse al OSE/SUNAT dentro del plazo máximo vigente desde su emisión; las boletas se informan por resumen diario o envío individual en el plazo vigente; la comunicación de baja procede dentro del plazo vigente y solo para comprobantes no entregados.</t>
  </si>
  <si>
    <t>R.S. N.° 097-2012/SUNAT y modificatorias (verificar plazos vigentes)</t>
  </si>
  <si>
    <t>TR-RN-021</t>
  </si>
  <si>
    <t>El IGV se calcula con la tasa vigente parametrizada (18 % = 16 % IGV + 2 % IPM) o con la tasa reducida aplicable al régimen del emisor; montos redondeados a 2 decimales por línea y total, con tolerancia de S/ 0,01 entre suma de líneas y total.</t>
  </si>
  <si>
    <t>TUO de la Ley del IGV, D.S. N.° 055-99-EF; Ley N.° 31556 para restaurantes MYPE (verificar vigencia)</t>
  </si>
  <si>
    <t>TR-RN-022</t>
  </si>
  <si>
    <t>Un comprobante aceptado no se modifica ni elimina: se corrige mediante nota de crédito o débito, o se anula con comunicación de baja o resumen según corresponda.</t>
  </si>
  <si>
    <t>R.S. N.° 097-2012/SUNAT (verificar)</t>
  </si>
  <si>
    <t>TR-RN-023</t>
  </si>
  <si>
    <t>Un pago solo se confirma por webhook o consulta servidor a servidor con firma válida; la redirección del navegador nunca confirma un pago. Los webhooks se procesan idempotentemente por identificador de transacción de la pasarela.</t>
  </si>
  <si>
    <t>Buenas prácticas PCI DSS; documentación de pasarelas</t>
  </si>
  <si>
    <t>TR-RN-024</t>
  </si>
  <si>
    <t>La conciliación empareja cada transacción liquidada con un pago registrado por identificador y monto; cualquier diferencia distinta de la comisión pactada se marca como partida observada.</t>
  </si>
  <si>
    <t>Política financiera de la plataforma</t>
  </si>
  <si>
    <t>TR-RN-025</t>
  </si>
  <si>
    <t>Los mensajes promocionales solo se envían a destinatarios con consentimiento vigente para esa finalidad y en horario de 8:00 a 20:00 (hora de Lima); los transaccionales no requieren consentimiento promocional pero respetan bajas del canal.</t>
  </si>
  <si>
    <t>Código de Protección y Defensa del Consumidor, Ley N.° 29571, art. 58 (verificar); Ley 29733</t>
  </si>
  <si>
    <t>TR-RN-026</t>
  </si>
  <si>
    <t>Fuera de la ventana de 24 horas desde el último mensaje del cliente, WhatsApp solo admite plantillas aprobadas por Meta.</t>
  </si>
  <si>
    <t>Políticas de WhatsApp Business Platform</t>
  </si>
  <si>
    <t>TR-RN-027</t>
  </si>
  <si>
    <t>Los archivos se aceptan solo con tipos MIME permitidos por categoría y tamaño máximo (imágenes 10 MB, documentos 25 MB); se calcula SHA-256, se analiza con antivirus antes de quedar disponibles y se descargan mediante URL firmada de vigencia máxima 15 minutos.</t>
  </si>
  <si>
    <t>TR-RNF-011; política de archivos</t>
  </si>
  <si>
    <t>TR-RN-028</t>
  </si>
  <si>
    <t>La auditoría es de solo inserción: ningún rol, incluido el de plataforma, puede modificar ni eliminar registros; cada registro se encadena con el hash del anterior y se conserva al menos 5 años.</t>
  </si>
  <si>
    <t>TR-RNF-013; política de retención</t>
  </si>
  <si>
    <t>TR-RN-029</t>
  </si>
  <si>
    <t>Las solicitudes ARCO se atienden en plazo legal: acceso en 20 días hábiles y rectificación, cancelación u oposición en 10 días hábiles desde su recepción, prorrogables una vez con justificación.</t>
  </si>
  <si>
    <t>Ley N.° 29733 y su reglamento D.S. N.° 016-2024-JUS (verificar plazos)</t>
  </si>
  <si>
    <t>TR-RN-030</t>
  </si>
  <si>
    <t>El consentimiento debe ser libre, previo, expreso, informado e inequívoco, por finalidad separada; se registra la versión del texto aceptado, la fecha, el canal y puede revocarse en cualquier momento.</t>
  </si>
  <si>
    <t>Ley N.° 29733, art. 5 y 13; D.S. N.° 016-2024-JUS</t>
  </si>
  <si>
    <t>TR-RN-031</t>
  </si>
  <si>
    <t>Antes de consultar al proveedor se valida el formato del documento; la consulta usa la caché vigente según el TTL del proveedor, registra la bitácora con el número cifrado con hash SHA-256 con sal y descuenta una unidad de la cuota mensual solo cuando llama al proveedor.</t>
  </si>
  <si>
    <t>operacion/sql/02_idn</t>
  </si>
  <si>
    <t>TR-RN-032</t>
  </si>
  <si>
    <t>La caché de identidad guarda solo los campos mínimos de la fuente: para DNI nombres y apellidos; para RUC razón social, estado, condición y domicilio fiscal. Está prohibido almacenar dirección, foto, fecha de nacimiento o estado civil del DNI.</t>
  </si>
  <si>
    <t>Ley 29733 — principio de proporcionalidad; operacion/sql/02_idn (ck_cache_campos)</t>
  </si>
  <si>
    <t>TR-RN-033</t>
  </si>
  <si>
    <t>La identidad portable requiere un código de un solo uso enviado al titular, con máximo 5 intentos y 3 solicitudes por titular y tenant al día; solo se comparten campos de la lista cerrada y nunca datos sensibles de salud, religión, política u orientación sexual.</t>
  </si>
  <si>
    <t>operacion/sql/02_idn; Ley 29733 (datos sensibles)</t>
  </si>
  <si>
    <t>TR-RN-034</t>
  </si>
  <si>
    <t>Todo evento de dominio se inserta en el outbox en la misma transacción que el cambio de negocio; la entrega es al menos una vez y cada consumidor es idempotente por event_id.</t>
  </si>
  <si>
    <t>integracion/sql/01_outbox; ADR de eventos</t>
  </si>
  <si>
    <t>TR-RN-035</t>
  </si>
  <si>
    <t>La lectura del outbox por cursor solo devuelve eventos con antigüedad mayor al margen configurado (por defecto 5 segundos) para no saltar secuencias confirmadas fuera de orden.</t>
  </si>
  <si>
    <t>integracion/sql/01_outbox (sync.read_events)</t>
  </si>
  <si>
    <t>TR-RN-036</t>
  </si>
  <si>
    <t>La prioridad del ticket se deriva de impacto y urgencia (1 = alto): suma 2 → P1, 3 → P2, 4 → P3, 5 o 6 → P4.</t>
  </si>
  <si>
    <t>operacion/sql/03_sop (ITIL)</t>
  </si>
  <si>
    <t>TR-RN-037</t>
  </si>
  <si>
    <t>Los plazos de primera respuesta y resolución dependen del plan y la prioridad; en horario LABORAL solo cuentan lunes a viernes de 08:00 a 18:00 y sábados de 08:00 a 13:00 (hora de Lima); el SLA se pausa mientras el ticket está en ESPERA_CLIENTE.</t>
  </si>
  <si>
    <t>operacion/sql/03_sop (politica_sla, vencimiento)</t>
  </si>
  <si>
    <t>TR-RN-038</t>
  </si>
  <si>
    <t>Solo se permiten las transiciones de estado del ticket definidas: NUEVO → EN_ANALISIS/RESUELTO; EN_ANALISIS → ESPERA_CLIENTE/ESCALADO_N2/RESUELTO; ESPERA_CLIENTE → EN_ANALISIS/CERRADO; ESCALADO_N2 → EN_ANALISIS/RESUELTO; RESUELTO → CERRADO/REABIERTO; REABIERTO → EN_ANALISIS.</t>
  </si>
  <si>
    <t>operacion/sql/03_sop (sop.transicion)</t>
  </si>
  <si>
    <t>TR-RN-039</t>
  </si>
  <si>
    <t>Las notas internas nunca son visibles para el cliente y el contexto técnico del ticket no puede contener DNI, contraseñas, tokens ni datos de tarjeta.</t>
  </si>
  <si>
    <t>operacion/sql/03_sop (ck_nota_interna_oculta, ck_ticket_contexto_sin_pii)</t>
  </si>
  <si>
    <t>TR-RN-040</t>
  </si>
  <si>
    <t>Solo existe una alerta abierta por regla y sucursal; la condición CAIDA_PCT solo se evalúa si la línea base (mismo tramo horario y día de la semana en las 4 semanas previas) supera la base mínima de la regla.</t>
  </si>
  <si>
    <t>operacion/sql/01_obs (ux_alerta_abierta, linea_base)</t>
  </si>
  <si>
    <t>TR-RN-041</t>
  </si>
  <si>
    <t>Todo texto enviado a un proveedor de IA se enmascara previamente (DNI, RUC de persona natural, nombres, teléfonos, correos); las salidas que producen efectos (registrar, cobrar, enviar) requieren confirmación humana explícita.</t>
  </si>
  <si>
    <t>Ley 29733; data/ia (IA-ARQ-01, IA-ARQ-02)</t>
  </si>
  <si>
    <t>TR-RN-042</t>
  </si>
  <si>
    <t>El slug de cada página es único por sitio; un dominio propio solo se activa tras verificar el registro DNS y emitir el certificado TLS; un contenido programado se publica en la fecha y hora indicadas en la zona America/Lima.</t>
  </si>
  <si>
    <t>Política del CMS</t>
  </si>
  <si>
    <t>TR-RN-043</t>
  </si>
  <si>
    <t>El registro de un cliente final exige aceptar la política de privacidad vigente; el código OTP tiene 6 dígitos, vigencia de 5 minutos y máximo 3 intentos; se bloquea el reenvío por 60 segundos.</t>
  </si>
  <si>
    <t>Ley 29733; TR-RNF-015</t>
  </si>
  <si>
    <t>TR-RN-044</t>
  </si>
  <si>
    <t>La API pública usa OAuth2 client_credentials con alcances por tenant y producto; el límite de solicitudes depende del plan y una versión retirada se anuncia con al menos 6 meses de anticipación.</t>
  </si>
  <si>
    <t>TR-RNF-022; política de API</t>
  </si>
  <si>
    <t>TR-RN-045</t>
  </si>
  <si>
    <t>Los webhooks salientes se firman con HMAC-SHA256 por suscripción, se reintentan con espera exponencial hasta 24 horas y se desactivan tras 3 días consecutivos de fallos, notificando al administrador.</t>
  </si>
  <si>
    <t>Política de integración</t>
  </si>
  <si>
    <t>TR-RN-046</t>
  </si>
  <si>
    <t>El agente local puede operar sin internet hasta 72 horas usando bloques de numeración reservados y catálogos en caché; al reconectar, sus eventos se sincronizan en orden y la configuración de la nube prevalece sobre la local.</t>
  </si>
  <si>
    <t>ADR de operación offline; data/s3_colas.js</t>
  </si>
  <si>
    <t>TR-RN-047</t>
  </si>
  <si>
    <t>Las exportaciones que contengan datos personales requieren el permiso específico de exportación, quedan auditadas y los archivos generados expiran a las 72 horas.</t>
  </si>
  <si>
    <t>Ley 29733; TR-RNF-013</t>
  </si>
  <si>
    <t>TR-RN-048</t>
  </si>
  <si>
    <t>Un incidente de seguridad que afecte datos personales se registra y se notifica a la Autoridad Nacional de Protección de Datos Personales dentro de las 48 horas de conocido.</t>
  </si>
  <si>
    <t>D.S. N.° 016-2024-JUS (verificar artículo)</t>
  </si>
  <si>
    <t>Requerimientos funcionales</t>
  </si>
  <si>
    <t>Un requerimiento = una capacidad verificable. Los criterios de aceptación están en la hoja «Criterios GWT».</t>
  </si>
  <si>
    <t>Nombre</t>
  </si>
  <si>
    <t>Precondiciones</t>
  </si>
  <si>
    <t>Flujo básico</t>
  </si>
  <si>
    <t>Datos y validaciones</t>
  </si>
  <si>
    <t>Reglas</t>
  </si>
  <si>
    <t>Salida</t>
  </si>
  <si>
    <t>Prioridad</t>
  </si>
  <si>
    <t>IA</t>
  </si>
  <si>
    <t>N.° criterios</t>
  </si>
  <si>
    <t>TR-RF-001</t>
  </si>
  <si>
    <t>MOD-01 · Organización y suscripciones (TR-ORG)</t>
  </si>
  <si>
    <t>Dar de alta un tenant con asistente</t>
  </si>
  <si>
    <t>El sistema debe permitir al administrador de plataforma crear un tenant mediante un asistente que registra en una sola operación el tenant, la suscripción inicial, la empresa con su RUC, la sucursal principal y la invitación al propietario.</t>
  </si>
  <si>
    <t>plat.tenant.crear</t>
  </si>
  <si>
    <t>El administrador de plataforma tiene sesión con MFA vigente y el producto contratado existe en seg.producto.</t>
  </si>
  <si>
    <t>1. El actor ingresa código y nombre del tenant, producto, plan y modalidad (prueba o activo).
2. El actor ingresa RUC, razón social y correo del propietario.
3. El sistema valida el RUC (TR-RN-002) y consulta el padrón mediante TR-IDN para completar razón social y domicilio fiscal.
4. El sistema crea tenant, suscripción, empresa y sucursal principal con establecimiento 0000 en una transacción.
5. El sistema siembra parámetros por defecto, series iniciales y roles predefinidos del producto.
6. El sistema invita al propietario por correo y publica tenant.creado.</t>
  </si>
  <si>
    <t>codigo (texto 3-30, único, minúsculas y guiones); nombre (texto 3-150, obligatorio); producto_codigo (catálogo de productos, obligatorio); plan (BASICO|PRO|EMPRESA); modalidad (PRUEBA|ACTIVO); ruc (11 dígitos, obligatorio); correo_propietario (correo válido, obligatorio)</t>
  </si>
  <si>
    <t>TR-RN-001, TR-RN-002, TR-RN-003, TR-RN-005</t>
  </si>
  <si>
    <t>Tenant en estado PRUEBA o ACTIVO con empresa, sucursal principal, suscripción y propietario invitado; tiempo total del asistente &lt; 15 min</t>
  </si>
  <si>
    <t>Must</t>
  </si>
  <si>
    <t>MVP</t>
  </si>
  <si>
    <t>TR-ORG, TR-SEG, TR-IDN, TR-CFG, TR-SEQ, TR-NOT, TR-EVT</t>
  </si>
  <si>
    <t>TR-RNF-029, TR-RNF-010, TR-RNF-008</t>
  </si>
  <si>
    <t>No</t>
  </si>
  <si>
    <t>TR-RF-002</t>
  </si>
  <si>
    <t>Registrar empresa del tenant</t>
  </si>
  <si>
    <t>El sistema debe permitir al administrador del cliente registrar empresas adicionales (RUC) dentro de su tenant, completando razón social, nombre comercial y domicilio fiscal desde el padrón RUC.</t>
  </si>
  <si>
    <t>plat.empresa.crear</t>
  </si>
  <si>
    <t>El tenant está ACTIVO o en PRUEBA y el actor tiene alcance TENANT.</t>
  </si>
  <si>
    <t>1. El actor ingresa el RUC de la nueva empresa.
2. El sistema valida el formato y consulta el padrón mediante TR-IDN.
3. El sistema muestra razón social, estado y condición del contribuyente.
4. El actor completa nombre comercial y confirma.
5. El sistema crea la empresa y su sucursal principal con establecimiento 0000 y publica empresa.creada.</t>
  </si>
  <si>
    <t>ruc (11 dígitos, único por tenant); razon_social (texto 1-200, desde padrón); nombre_comercial (texto 0-150); direccion_fiscal (texto 0-250); ubigeo (6 dígitos, catálogo UBIGEO)</t>
  </si>
  <si>
    <t>TR-RN-001, TR-RN-002, TR-RN-003, TR-RN-019</t>
  </si>
  <si>
    <t>Empresa activa con sucursal principal creada</t>
  </si>
  <si>
    <t>TR-P01, TR-P10</t>
  </si>
  <si>
    <t>TR-ORG, TR-IDN, TR-CAT, TR-EVT</t>
  </si>
  <si>
    <t>TR-RNF-010, TR-RNF-007</t>
  </si>
  <si>
    <t>TR-RF-003</t>
  </si>
  <si>
    <t>Registrar sucursal (establecimiento)</t>
  </si>
  <si>
    <t>El sistema debe permitir registrar, editar e inactivar sucursales de una empresa con su código de establecimiento SUNAT, dirección, ubigeo, teléfono y zona horaria, garantizando una sola sucursal principal por empresa.</t>
  </si>
  <si>
    <t>plat.sucursal.gestionar</t>
  </si>
  <si>
    <t>La empresa existe y está activa; la suscripción no ha alcanzado su límite de sucursales.</t>
  </si>
  <si>
    <t>1. El actor selecciona la empresa y elige nueva sucursal.
2. Ingresa código interno, nombre, código de establecimiento SUNAT, dirección y ubigeo.
3. El sistema valida unicidad del código, formato del establecimiento y límite del plan.
4. El sistema guarda la sucursal y publica sucursal.creada.</t>
  </si>
  <si>
    <t>codigo (texto 1-20, único por empresa); nombre (texto 3-150); codigo_establecimiento_sunat (4 dígitos, opcional); direccion (texto 0-250); ubigeo (catálogo UBIGEO); telefono (texto 0-30); zona_horaria (IANA, por defecto America/Lima); es_principal (booleano)</t>
  </si>
  <si>
    <t>TR-RN-001, TR-RN-003, TR-RN-006</t>
  </si>
  <si>
    <t>Sucursal activa disponible para asignaciones, series y parámetros</t>
  </si>
  <si>
    <t>TR-ORG, TR-CAT, TR-EVT</t>
  </si>
  <si>
    <t>TR-RNF-010, TR-RNF-027</t>
  </si>
  <si>
    <t>TR-RF-004</t>
  </si>
  <si>
    <t>Registrar unidad operativa</t>
  </si>
  <si>
    <t>El sistema debe permitir registrar unidades operativas (almacén, caja, punto de venta, consultorio, ventanilla, salón, estación de producción) dentro de una sucursal, o almacenes centrales a nivel de empresa, con atributos propios del tipo.</t>
  </si>
  <si>
    <t>plat.unidad.gestionar</t>
  </si>
  <si>
    <t>Existe la sucursal o, si el tipo es ALMACEN, al menos la empresa.</t>
  </si>
  <si>
    <t>1. El actor elige la sucursal y el tipo de unidad del catálogo TIPO_UNIDAD.
2. Ingresa código, nombre, unidad padre opcional y atributos.
3. El sistema valida la regla de pertenencia (TR-RN-004) y la unicidad por empresa, tipo y código.
4. El sistema guarda la unidad y publica unidad.creada.</t>
  </si>
  <si>
    <t>tipo (catálogo TIPO_UNIDAD, obligatorio); codigo (texto 1-20); nombre (texto 3-150); sucursal_id (uuid, obligatorio salvo ALMACEN); padre_id (uuid, opcional); atributos (JSON: impresora, capacidad, piso)</t>
  </si>
  <si>
    <t>TR-RN-004, TR-RN-001</t>
  </si>
  <si>
    <t>Unidad operativa activa asignable a usuarios y numeración</t>
  </si>
  <si>
    <t>TR-ORG, TR-CAT</t>
  </si>
  <si>
    <t>TR-RF-005</t>
  </si>
  <si>
    <t>Gestionar suscripción de producto</t>
  </si>
  <si>
    <t>El sistema debe permitir al administrador de plataforma crear y modificar la suscripción de un tenant a un producto, indicando edición, plan, límites de sucursales y usuarios y vigencia, y propagar el cambio a permisos y cuotas.</t>
  </si>
  <si>
    <t>plat.suscripcion.gestionar</t>
  </si>
  <si>
    <t>El tenant existe y no está en BAJA.</t>
  </si>
  <si>
    <t>1. El actor abre el tenant y selecciona el producto.
2. Define edición, plan, límites y fecha de vigencia.
3. El sistema valida que los nuevos límites no sean menores que el uso actual.
4. El sistema guarda, invalida la caché de permisos y publica suscripcion.cambiada.</t>
  </si>
  <si>
    <t>producto_codigo (REST|PSI|COL|LIB|GYM|CLI|DOC|ECO|LEX); edicion (texto 0-30); plan (BASICO|PRO|EMPRESA); estado (PRUEBA|ACTIVA|VENCIDA|CANCELADA); limite_sucursales (entero ≥ 1 o vacío); limite_usuarios (entero ≥ 1 o vacío); vigente_hasta (fecha)</t>
  </si>
  <si>
    <t>Suscripción actualizada con efecto inmediato en permisos, cuotas y SLA</t>
  </si>
  <si>
    <t>TR-P01, TR-P05</t>
  </si>
  <si>
    <t>TR-ORG, TR-SEG, TR-EVT</t>
  </si>
  <si>
    <t>TR-RNF-101, TR-RNF-027</t>
  </si>
  <si>
    <t>TR-RF-006</t>
  </si>
  <si>
    <t>Cambiar estado del tenant</t>
  </si>
  <si>
    <t>El sistema debe permitir suspender, reactivar o dar de baja un tenant registrando motivo obligatorio, aplicando las restricciones del estado y notificando al propietario.</t>
  </si>
  <si>
    <t>plat.tenant.cambiar_estado</t>
  </si>
  <si>
    <t>El actor tiene MFA vigente; el tenant existe.</t>
  </si>
  <si>
    <t>1. El actor selecciona el nuevo estado e ingresa el motivo.
2. El sistema solicita confirmación explícita.
3. El sistema valida la transición permitida (TR-RN-005).
4. El sistema aplica el estado, cierra sesiones si es SUSPENDIDO o BAJA, registra auditoría y notifica al propietario.</t>
  </si>
  <si>
    <t>estado_nuevo (ACTIVO|SUSPENDIDO|BAJA); motivo (texto 10-500, obligatorio); fecha_efectiva (fecha-hora, por defecto ahora)</t>
  </si>
  <si>
    <t>TR-RN-005, TR-RN-009</t>
  </si>
  <si>
    <t>Tenant en el nuevo estado con restricciones aplicadas y notificación enviada</t>
  </si>
  <si>
    <t>TR-ORG, TR-SEG, TR-AUD, TR-NOT</t>
  </si>
  <si>
    <t>TR-RNF-021, TR-RNF-013</t>
  </si>
  <si>
    <t>TR-RF-007</t>
  </si>
  <si>
    <t>Controlar vencimiento de prueba y suscripción</t>
  </si>
  <si>
    <t>El sistema debe ejecutar diariamente el control de vencimientos: avisar al propietario 7, 3 y 1 días antes, pasar la suscripción a VENCIDA al vencer y suspender el tenant tras el periodo de gracia configurado.</t>
  </si>
  <si>
    <t>plat.sistema.job</t>
  </si>
  <si>
    <t>El job programado está activo; existen suscripciones con vigente_hasta.</t>
  </si>
  <si>
    <t>1. El planificador ejecuta el control a las 06:00 hora de Lima.
2. El sistema identifica suscripciones que vencen en 7, 3 y 1 días y envía avisos.
3. Las suscripciones vencidas pasan a VENCIDA y se publica suscripcion.vencida.
4. Si el periodo de gracia (parámetro plat.suscripcion.dias_gracia) terminó sin pago, se suspende el tenant.</t>
  </si>
  <si>
    <t>dias_gracia (parámetro NUMERO, por defecto 5); fecha_ejecucion (fecha); resultados (lista de tenant, producto, acción)</t>
  </si>
  <si>
    <t>TR-RN-005, TR-RN-006</t>
  </si>
  <si>
    <t>Suscripciones y tenants con estado actualizado y avisos enviados</t>
  </si>
  <si>
    <t>TR-ORG, TR-NOT, TR-CFG, TR-EVT</t>
  </si>
  <si>
    <t>TR-RNF-005, TR-RNF-008</t>
  </si>
  <si>
    <t>TR-RF-008</t>
  </si>
  <si>
    <t>MOD-02 · Seguridad y accesos (TR-SEG)</t>
  </si>
  <si>
    <t>Aplicar manifiesto funcional del producto</t>
  </si>
  <si>
    <t>El sistema debe aplicar en cada despliegue el manifiesto declarativo de un producto (módulos, opciones de menú, permisos con alcance mínimo y sensibilidad, roles predefinidos, parámetros, indicadores y reportes) de forma idempotente.</t>
  </si>
  <si>
    <t>Planificador de tareas, Administrador de plataforma</t>
  </si>
  <si>
    <t>plat.manifiesto.aplicar</t>
  </si>
  <si>
    <t>El pipeline de despliegue dispone del manifiesto versionado del producto.</t>
  </si>
  <si>
    <t>1. El pipeline envía el manifiesto con su versión.
2. El sistema valida su esquema y que los códigos de permiso cumplan producto.recurso.accion.
3. El sistema calcula diferencias contra lo registrado.
4. Inserta o actualiza módulos, opciones, permisos y roles predefinidos; marca como obsoletos los retirados.
5. Registra la versión aplicada y publica manifiesto.aplicado.</t>
  </si>
  <si>
    <t>producto_codigo (5 caracteres); version (semver); modulos[]; opciones[] (codigo, ruta, icono, permisos requeridos); permisos[] (codigo, descripcion, alcance_minimo, sensible); roles_predefinidos[]; parametros[]; indicadores[]; reportes[]</t>
  </si>
  <si>
    <t>Catálogo funcional del producto sincronizado con la versión desplegada</t>
  </si>
  <si>
    <t>TR-P02, TR-P03</t>
  </si>
  <si>
    <t>TR-SEG, TR-CFG, TR-OBS, TR-REP, TR-EVT</t>
  </si>
  <si>
    <t>TR-RNF-120, TR-RNF-119, TR-RNF-024</t>
  </si>
  <si>
    <t>TR-RF-009</t>
  </si>
  <si>
    <t>Invitar usuario al tenant</t>
  </si>
  <si>
    <t>El sistema debe permitir al administrador del cliente invitar a una persona por correo para que se una al tenant, indicando el perfil o rol inicial y su alcance, respetando el límite de usuarios del plan.</t>
  </si>
  <si>
    <t>plat.usuario.invitar</t>
  </si>
  <si>
    <t>El actor tiene alcance suficiente para el alcance que otorga; el plan no alcanzó su límite de usuarios.</t>
  </si>
  <si>
    <t>1. El actor ingresa correo, nombre y perfil o rol con alcance.
2. El sistema verifica el límite de usuarios del plan.
3. Si el correo no existe en seg.usuario lo crea; crea la membresía en estado INVITADO y la asignación propuesta.
4. El sistema envía la invitación con enlace de un solo uso válido por 72 horas.</t>
  </si>
  <si>
    <t>correo (correo válido, obligatorio); nombre (texto 3-150); perfil_id o rol_id (uno obligatorio); alcance (TENANT|EMPRESA|SUCURSAL|UNIDAD); empresa_id/sucursal_id/unidad_id (según alcance); vigente_hasta (fecha opcional)</t>
  </si>
  <si>
    <t>TR-RN-006, TR-RN-008</t>
  </si>
  <si>
    <t>Membresía INVITADO creada e invitación enviada</t>
  </si>
  <si>
    <t>TR-SEG, TR-NOT, TR-ORG</t>
  </si>
  <si>
    <t>TR-RNF-009, TR-RNF-013</t>
  </si>
  <si>
    <t>TR-RF-010</t>
  </si>
  <si>
    <t>Aceptar invitación y vincular identidad</t>
  </si>
  <si>
    <t>El sistema debe permitir que el invitado acepte la invitación autenticándose en el IdP (OIDC) y que su identificador (sub) quede vinculado a su usuario, activando la membresía.</t>
  </si>
  <si>
    <t>Usuario operativo del producto, Proveedor de identidad OIDC (IdP)</t>
  </si>
  <si>
    <t>publico.invitacion.aceptar</t>
  </si>
  <si>
    <t>La invitación está vigente y no fue usada.</t>
  </si>
  <si>
    <t>1. El invitado abre el enlace de invitación.
2. El shell redirige al IdP para iniciar sesión o crear la cuenta.
3. El IdP devuelve el token con sub y correo verificado.
4. El sistema verifica que el correo coincida con la invitación y activa la membresía y su asignación.
5. El sistema registra el evento ASIGNACION_OTORGADA.</t>
  </si>
  <si>
    <t>token_invitacion (cadena de un solo uso); sub (uuid del IdP); correo_verificado (booleano)</t>
  </si>
  <si>
    <t>Membresía ACTIVA y usuario con acceso al producto</t>
  </si>
  <si>
    <t>TR-SEG, TR-AUD</t>
  </si>
  <si>
    <t>TR-RNF-009, TR-RNF-014</t>
  </si>
  <si>
    <t>TR-RF-011</t>
  </si>
  <si>
    <t>Gestionar roles propios del tenant</t>
  </si>
  <si>
    <t>El sistema debe permitir crear, copiar desde un rol predefinido, editar e inactivar roles propios de un producto, seleccionando sus permisos del catálogo del producto; los roles predefinidos no son editables.</t>
  </si>
  <si>
    <t>plat.rol.gestionar</t>
  </si>
  <si>
    <t>El tenant tiene suscripción vigente al producto del rol.</t>
  </si>
  <si>
    <t>1. El actor elige el producto y crea un rol nuevo o copia uno predefinido.
2. Marca los permisos del árbol módulo → opción → permiso.
3. El sistema valida que todos los permisos pertenezcan al producto.
4. El sistema guarda el rol, invalida la caché de permisos de los usuarios afectados y registra auditoría.</t>
  </si>
  <si>
    <t>producto_codigo (obligatorio); codigo (texto 3-50, único por tenant); nombre (texto 3-100); permisos[] (códigos del producto); activo (booleano)</t>
  </si>
  <si>
    <t>TR-RN-007, TR-RN-009</t>
  </si>
  <si>
    <t>Rol propio disponible para asignación</t>
  </si>
  <si>
    <t>TR-RNF-101, TR-RNF-122, TR-RNF-013</t>
  </si>
  <si>
    <t>TR-RF-012</t>
  </si>
  <si>
    <t>Gestionar perfiles de puesto</t>
  </si>
  <si>
    <t>El sistema debe permitir definir perfiles de puesto que agrupen roles de uno o varios productos contratados, para asignar con una sola operación el acceso completo de un puesto.</t>
  </si>
  <si>
    <t>plat.perfil.gestionar</t>
  </si>
  <si>
    <t>Existen roles activos de los productos contratados.</t>
  </si>
  <si>
    <t>1. El actor crea el perfil con código y nombre.
2. Selecciona uno o más roles de los productos contratados.
3. El sistema guarda el perfil y recalcula permisos de los usuarios que lo tienen asignado.</t>
  </si>
  <si>
    <t>codigo (texto 3-50, único por tenant); nombre (texto 3-100); roles[] (uuid de roles activos)</t>
  </si>
  <si>
    <t>Perfil disponible para asignación</t>
  </si>
  <si>
    <t>Should</t>
  </si>
  <si>
    <t>TR-SEG</t>
  </si>
  <si>
    <t>TR-RF-013</t>
  </si>
  <si>
    <t>Asignar rol o perfil con alcance y vigencia</t>
  </si>
  <si>
    <t>El sistema debe permitir otorgar a un miembro un rol o un perfil con alcance tenant, empresa, sucursal o unidad y con vigencia desde y hasta, validando coherencia del alcance y que el otorgante tenga alcance igual o mayor.</t>
  </si>
  <si>
    <t>plat.asignacion.otorgar</t>
  </si>
  <si>
    <t>El usuario tiene membresía ACTIVA o INVITADO en el tenant.</t>
  </si>
  <si>
    <t>1. El actor selecciona el miembro y elige rol o perfil.
2. Define alcance y la entidad correspondiente, y vigencia.
3. El sistema valida TR-RN-008 y el alcance del otorgante.
4. Si el rol contiene permisos sensibles, solicita MFA al otorgante.
5. Guarda la asignación, registra ASIGNACION_OTORGADA e invalida la caché de permisos.</t>
  </si>
  <si>
    <t>membresia_id (uuid); rol_id o perfil_id (exactamente uno); alcance (TENANT|EMPRESA|SUCURSAL|UNIDAD); empresa_id, sucursal_id, unidad_id (según alcance); vigente_desde (fecha, por defecto hoy); vigente_hasta (fecha ≥ desde, opcional)</t>
  </si>
  <si>
    <t>TR-RN-007, TR-RN-008, TR-RN-009</t>
  </si>
  <si>
    <t>Asignación vigente con efecto en permisos efectivos en ≤ 5 s</t>
  </si>
  <si>
    <t>TR-SEG, TR-ORG, TR-AUD</t>
  </si>
  <si>
    <t>TR-RNF-101, TR-RNF-009, TR-RNF-013</t>
  </si>
  <si>
    <t>TR-RF-014</t>
  </si>
  <si>
    <t>Revocar acceso y suspender membresía</t>
  </si>
  <si>
    <t>El sistema debe permitir revocar asignaciones y suspender o finalizar la membresía de un usuario, cerrando sus sesiones activas en el tenant, sin permitir dejar al tenant sin propietario activo.</t>
  </si>
  <si>
    <t>plat.asignacion.revocar</t>
  </si>
  <si>
    <t>El usuario tiene membresía en el tenant.</t>
  </si>
  <si>
    <t>1. El actor selecciona la asignación o la membresía y la acción.
2. El sistema solicita confirmación y motivo.
3. El sistema valida TR-RN-010 si el usuario es propietario.
4. Revoca o suspende, invalida la caché, solicita al IdP el cierre de sesiones y registra ASIGNACION_REVOCADA.</t>
  </si>
  <si>
    <t>membresia_id o asignacion_id (uuid); accion (REVOCAR|SUSPENDER|FINALIZAR); motivo (texto 5-300, obligatorio)</t>
  </si>
  <si>
    <t>Usuario sin acceso en el alcance revocado y sesiones cerradas</t>
  </si>
  <si>
    <t>TR-RNF-021, TR-RNF-014, TR-RNF-013</t>
  </si>
  <si>
    <t>TR-RF-015</t>
  </si>
  <si>
    <t>Calcular permisos efectivos y menú</t>
  </si>
  <si>
    <t>El sistema debe proveer a los productos el conjunto de permisos efectivos y el menú visible de un usuario para un tenant, sucursal y opcionalmente unidad, considerando alcances, vigencias y suscripciones vigentes.</t>
  </si>
  <si>
    <t>plat.permiso.consultar</t>
  </si>
  <si>
    <t>El request trae el token OIDC válido y el contexto de tenant y sucursal.</t>
  </si>
  <si>
    <t>1. El guard del producto solicita los permisos efectivos del usuario para el contexto.
2. El sistema busca en caché Redis; si no existe, ejecuta seg.permisos_efectivos y seg.menu_usuario.
3. Guarda el resultado en caché con la versión de seguridad del tenant.
4. El guard autoriza o deniega; ante denegación registra ACCESO_DENEGADO.</t>
  </si>
  <si>
    <t>usuario_id (uuid); tenant_id (uuid); sucursal_id (uuid); unidad_id (uuid opcional); respuesta: permisos[] (códigos), menu[] (opciones con ruta e icono)</t>
  </si>
  <si>
    <t>TR-RN-006, TR-RN-007</t>
  </si>
  <si>
    <t>Respuesta 200 con permisos y menú, o 403 con código de permiso faltante</t>
  </si>
  <si>
    <t>TR-SEG, TR-ORG</t>
  </si>
  <si>
    <t>TR-RNF-101, TR-RNF-010, TR-RNF-001</t>
  </si>
  <si>
    <t>TR-RF-016</t>
  </si>
  <si>
    <t>Seleccionar empresa y sucursal de trabajo</t>
  </si>
  <si>
    <t>El sistema debe mostrar, tras la autenticación, el selector de tenant, empresa y sucursal con solo las opciones a las que el usuario tiene acceso, recordar la última selección y permitir cambiarla sin cerrar sesión.</t>
  </si>
  <si>
    <t>plat.sesion.contexto</t>
  </si>
  <si>
    <t>El usuario está autenticado en el IdP y tiene al menos una membresía ACTIVA.</t>
  </si>
  <si>
    <t>1. El shell obtiene las sucursales accesibles mediante seg.sucursales_accesibles.
2. Si hay una sola opción, la selecciona automáticamente.
3. Si hay varias, muestra el selector con la última usada preseleccionada.
4. Al confirmar, el shell fija el contexto en el token de aplicación y carga el menú.</t>
  </si>
  <si>
    <t>tenant_id, empresa_id, sucursal_id (uuid); ultima_seleccion (almacenada por usuario)</t>
  </si>
  <si>
    <t>Sesión con contexto de sucursal y menú cargado</t>
  </si>
  <si>
    <t>TR-RNF-101, TR-RNF-018, TR-RNF-020</t>
  </si>
  <si>
    <t>TR-RF-017</t>
  </si>
  <si>
    <t>Exigir MFA para permisos sensibles</t>
  </si>
  <si>
    <t>El sistema debe exigir autenticación multifactor reciente (máximo 15 minutos) antes de ejecutar cualquier acción cuyo permiso esté marcado como sensible, solicitando la elevación al IdP cuando no esté vigente.</t>
  </si>
  <si>
    <t>plat.mfa.elevar</t>
  </si>
  <si>
    <t>El permiso requerido tiene sensible = true en el manifiesto.</t>
  </si>
  <si>
    <t>1. El guard detecta que la acción requiere un permiso sensible.
2. Verifica el claim de hora de MFA (amr/auth_time) del token.
3. Si supera 15 minutos, responde 401 con el desafío step-up.
4. El shell redirige al IdP para el segundo factor y reintenta la acción con el nuevo token.
5. La acción ejecutada se audita con indicador de MFA.</t>
  </si>
  <si>
    <t>permiso (código sensible); auth_time (epoch del IdP); amr (incluye otp o webauthn)</t>
  </si>
  <si>
    <t>Acción ejecutada con MFA vigente o rechazada con desafío</t>
  </si>
  <si>
    <t>TR-RF-018</t>
  </si>
  <si>
    <t>Gestionar sesiones activas</t>
  </si>
  <si>
    <t>El sistema debe permitir al administrador del cliente ver las sesiones activas de los usuarios de su tenant (dispositivo, IP, último uso) y cerrarlas de forma remota, y al usuario ver y cerrar las propias.</t>
  </si>
  <si>
    <t>Administrador del cliente, Usuario operativo del producto</t>
  </si>
  <si>
    <t>plat.sesion.gestionar</t>
  </si>
  <si>
    <t>El IdP expone la gestión de sesiones del realm o proyecto.</t>
  </si>
  <si>
    <t>1. El actor abre la lista de sesiones filtrada por usuario o sucursal.
2. El sistema consulta al IdP y la enriquece con el último contexto de sucursal.
3. El actor selecciona una sesión y la cierra.
4. El sistema revoca los tokens de renovación y registra el evento.</t>
  </si>
  <si>
    <t>usuario (texto); dispositivo (texto); ip (inet); inicio (fecha-hora); ultimo_uso (fecha-hora); sucursal (texto)</t>
  </si>
  <si>
    <t>Sesión cerrada y usuario obligado a autenticarse nuevamente</t>
  </si>
  <si>
    <t>R2</t>
  </si>
  <si>
    <t>TR-RNF-014, TR-RNF-013</t>
  </si>
  <si>
    <t>TR-RF-019</t>
  </si>
  <si>
    <t>Consultar bitácora de seguridad</t>
  </si>
  <si>
    <t>El sistema debe permitir consultar la bitácora de eventos de seguridad del tenant (inicios de sesión, accesos denegados, asignaciones otorgadas o revocadas, accesos de soporte) con filtros y exportación.</t>
  </si>
  <si>
    <t>Administrador del cliente, Responsable de datos personales del cliente</t>
  </si>
  <si>
    <t>plat.seguridad.bitacora</t>
  </si>
  <si>
    <t>Existen eventos en seg.evento_seguridad para el tenant.</t>
  </si>
  <si>
    <t>1. El actor define filtros de fecha, usuario y tipo de evento.
2. El sistema devuelve la lista paginada ordenada por fecha descendente.
3. El actor abre el detalle con IP y datos del evento o exporta a Excel.</t>
  </si>
  <si>
    <t>fecha_desde, fecha_hasta (fecha); usuario (texto); tipo (LOGIN|ACCESO_DENEGADO|ASIGNACION_OTORGADA|ASIGNACION_REVOCADA|ACCESO_SOPORTE)</t>
  </si>
  <si>
    <t>Listado paginado de eventos y exportación auditada</t>
  </si>
  <si>
    <t>TR-P02, TR-P11</t>
  </si>
  <si>
    <t>TR-SEG, TR-AUD, TR-REP</t>
  </si>
  <si>
    <t>TR-RNF-002, TR-RNF-013</t>
  </si>
  <si>
    <t>TR-RF-020</t>
  </si>
  <si>
    <t>Autorizar acceso temporal de soporte</t>
  </si>
  <si>
    <t>El sistema debe permitir al administrador del cliente autorizar que un agente de soporte acceda a su tenant con motivo, ticket asociado, alcance y vigencia máxima de 4 horas, y al agente operar con un banner visible y auditoría de cada acción.</t>
  </si>
  <si>
    <t>Administrador del cliente, Agente de soporte (N1/N2)</t>
  </si>
  <si>
    <t>plat.soporte.autorizar</t>
  </si>
  <si>
    <t>Existe un ticket abierto del tenant asignado al agente.</t>
  </si>
  <si>
    <t>1. El agente solicita acceso desde el ticket indicando motivo y alcance de solo lectura o lectura y escritura.
2. El administrador del cliente recibe la solicitud y la aprueba con vigencia de hasta 4 horas.
3. El sistema crea una membresía temporal tipo SOPORTE y registra ACCESO_SOPORTE.
4. El agente opera con un banner «Sesión de soporte»; cada acción se audita con el número de ticket.
5. Al vencer la vigencia o cerrar el ticket, el acceso se revoca automáticamente.</t>
  </si>
  <si>
    <t>ticket (SOP-######); motivo (texto 10-300); modo (LECTURA|ESCRITURA); vigencia_horas (1-4); aprobado_por (uuid)</t>
  </si>
  <si>
    <t>Acceso de soporte vigente, visible y auditado, revocado automáticamente</t>
  </si>
  <si>
    <t>TR-P02, TR-P08</t>
  </si>
  <si>
    <t>TR-SEG, TR-SOP, TR-AUD, TR-NOT</t>
  </si>
  <si>
    <t>TR-RNF-110, TR-RNF-013</t>
  </si>
  <si>
    <t>TR-RF-021</t>
  </si>
  <si>
    <t>Transferir propiedad del tenant</t>
  </si>
  <si>
    <t>El sistema debe permitir al propietario transferir la propiedad del tenant a otro miembro activo, con confirmación por MFA de ambos, conservando la trazabilidad.</t>
  </si>
  <si>
    <t>plat.tenant.transferir</t>
  </si>
  <si>
    <t>El destinatario es miembro ACTIVO del tenant.</t>
  </si>
  <si>
    <t>1. El propietario selecciona al nuevo propietario y confirma con MFA.
2. El sistema notifica al destinatario, que acepta con MFA.
3. El sistema marca al destinatario como propietario y, si se indicó, retira la marca al anterior.
4. Registra el cambio en auditoría y notifica a ambos.</t>
  </si>
  <si>
    <t>nuevo_propietario_id (uuid); conservar_propiedad_actual (booleano); motivo (texto 5-300)</t>
  </si>
  <si>
    <t>TR-RN-010, TR-RN-009</t>
  </si>
  <si>
    <t>Propiedad transferida con aceptación del destinatario</t>
  </si>
  <si>
    <t>Could</t>
  </si>
  <si>
    <t>TR-P01, TR-P02</t>
  </si>
  <si>
    <t>TR-SEG, TR-AUD, TR-NOT</t>
  </si>
  <si>
    <t>TR-RNF-009, TR-RNF-021</t>
  </si>
  <si>
    <t>TR-RF-022</t>
  </si>
  <si>
    <t>MOD-03 · Catálogos y tablas maestras (TR-CAT)</t>
  </si>
  <si>
    <t>Administrar catálogos globales</t>
  </si>
  <si>
    <t>El sistema debe permitir al administrador de plataforma crear y editar la definición de catálogos (código, nombre, alcance GLOBAL, TENANT o MIXTO, fuente y si es editable por el tenant), incrementando la versión ante cada cambio.</t>
  </si>
  <si>
    <t>plat.catalogo.gestionar</t>
  </si>
  <si>
    <t>El actor tiene sesión en la consola de plataforma.</t>
  </si>
  <si>
    <t>1. El actor crea o edita un catálogo.
2. El sistema valida unicidad del código y coherencia entre alcance y editable_por_tenant.
3. Guarda, incrementa la versión y publica catalogo.actualizado.
4. El sistema invalida la caché del catálogo en Redis.</t>
  </si>
  <si>
    <t>codigo (texto 3-60, mayúsculas y guion bajo, único); nombre (texto 3-150); alcance (GLOBAL|TENANT|MIXTO); fuente (texto 0-150, p. ej. «SUNAT Catálogo 06»); editable_por_tenant (booleano); version (entero autoincremental)</t>
  </si>
  <si>
    <t>Catálogo definido y versionado</t>
  </si>
  <si>
    <t>TR-CAT, TR-EVT</t>
  </si>
  <si>
    <t>TR-RNF-102, TR-RNF-027</t>
  </si>
  <si>
    <t>TR-RF-023</t>
  </si>
  <si>
    <t>Administrar ítems de catálogo con vigencia</t>
  </si>
  <si>
    <t>El sistema debe permitir registrar, editar, inactivar y cerrar la vigencia de ítems de un catálogo con código, código externo oficial, nombre, abreviatura, orden y atributos JSON, sin eliminar ítems referenciados.</t>
  </si>
  <si>
    <t>Administrador de plataforma, Administrador del cliente</t>
  </si>
  <si>
    <t>plat.catalogo.item_gestionar</t>
  </si>
  <si>
    <t>El catálogo existe; para ítems propios del tenant el catálogo es MIXTO o TENANT.</t>
  </si>
  <si>
    <t>1. El actor abre el catálogo y agrega o edita un ítem.
2. Ingresa código, código externo, nombre, orden, atributos y vigencia.
3. El sistema valida unicidad por catálogo y tenant (TR-RN-013).
4. Ante eliminación de ítem referenciado, el sistema ofrece cerrar la vigencia.
5. Guarda, incrementa la versión del catálogo e invalida la caché.</t>
  </si>
  <si>
    <t>codigo (texto 1-40); codigo_externo (texto 0-40); nombre (texto 1-200); abreviatura (0-30); orden (entero); atributos (JSON: longitud, regex, valida_reniec, mascara); vigente_desde (fecha); vigente_hasta (fecha opcional ≥ desde); activo (booleano)</t>
  </si>
  <si>
    <t>TR-RN-012, TR-RN-013</t>
  </si>
  <si>
    <t>Ítem vigente o cerrado sin pérdida de referencias</t>
  </si>
  <si>
    <t>TR-RNF-102, TR-RNF-021</t>
  </si>
  <si>
    <t>TR-RF-024</t>
  </si>
  <si>
    <t>Consultar ítems de catálogo con caché</t>
  </si>
  <si>
    <t>El sistema debe exponer GET /v1/catalogos/{codigo}/items que devuelva los ítems vigentes y visibles para el tenant (globales más propios con ajustes aplicados), con ETag, caché Redis y respuesta 304 cuando no hay cambios.</t>
  </si>
  <si>
    <t>Módulo de producto consumidor, Usuario operativo del producto</t>
  </si>
  <si>
    <t>plat.catalogo.leer</t>
  </si>
  <si>
    <t>El request tiene contexto de tenant.</t>
  </si>
  <si>
    <t>1. El cliente solicita los ítems con If-None-Match opcional.
2. El sistema busca en Redis la clave cat:{codigo}:{tenant}:{version}.
3. Si no existe, ejecuta cat.items y guarda el resultado con TTL.
4. Devuelve 200 con ETag o 304 si coincide.</t>
  </si>
  <si>
    <t>codigo (ruta); If-None-Match (cabecera opcional); respuesta: item_id, codigo, codigo_externo, nombre (alias si existe), atributos, orden</t>
  </si>
  <si>
    <t>Lista ordenada de ítems vigentes o 304</t>
  </si>
  <si>
    <t>TR-CAT</t>
  </si>
  <si>
    <t>TR-RNF-102, TR-RNF-002</t>
  </si>
  <si>
    <t>TR-RF-025</t>
  </si>
  <si>
    <t>Personalizar ítems globales por tenant</t>
  </si>
  <si>
    <t>El sistema debe permitir al administrador del cliente ocultar, reordenar y renombrar (alias) ítems globales de catálogos MIXTO sin alterar el ítem global ni afectar a otros tenants.</t>
  </si>
  <si>
    <t>plat.catalogo.personalizar</t>
  </si>
  <si>
    <t>El catálogo tiene alcance MIXTO o editable_por_tenant = verdadero.</t>
  </si>
  <si>
    <t>1. El actor abre el catálogo y ve los ítems globales y propios.
2. Cambia visibilidad, orden o alias de un ítem global.
3. El sistema guarda el ajuste en cat.catalogo_item_tenant e invalida la caché del tenant.</t>
  </si>
  <si>
    <t>item_id (uuid); visible (booleano); orden (entero opcional); alias (texto 0-200)</t>
  </si>
  <si>
    <t>Lista del tenant con ajustes aplicados</t>
  </si>
  <si>
    <t>TR-RNF-027, TR-RNF-102</t>
  </si>
  <si>
    <t>TR-RF-026</t>
  </si>
  <si>
    <t>Registrar ítems propios del tenant</t>
  </si>
  <si>
    <t>El sistema debe permitir al administrador del cliente registrar, editar e inactivar ítems propios en catálogos MIXTO o TENANT (por ejemplo especialidades, categorías de producto, tipos de trámite).</t>
  </si>
  <si>
    <t>plat.catalogo.item_propio</t>
  </si>
  <si>
    <t>El catálogo es MIXTO o TENANT.</t>
  </si>
  <si>
    <t>1. El actor agrega un ítem con código y nombre.
2. El sistema valida que el código no coincida con un ítem global ni propio existente.
3. Guarda con tenant_id del contexto e invalida la caché.</t>
  </si>
  <si>
    <t>codigo (texto 1-40); nombre (texto 1-200); orden (entero); atributos (JSON opcional); activo (booleano)</t>
  </si>
  <si>
    <t>Ítem propio disponible solo para el tenant</t>
  </si>
  <si>
    <t>TR-RNF-027, TR-RNF-010</t>
  </si>
  <si>
    <t>TR-RF-027</t>
  </si>
  <si>
    <t>Validar valor contra catálogo</t>
  </si>
  <si>
    <t>El sistema debe proveer el puerto CatalogoPort.validarItem(catalogo, codigo) que confirme si un código es vigente y visible para el tenant y devuelva sus atributos para validaciones del producto.</t>
  </si>
  <si>
    <t>El módulo de producto tiene contexto de tenant.</t>
  </si>
  <si>
    <t>1. El módulo invoca validarItem con catálogo y código.
2. El sistema resuelve desde caché los ítems del tenant.
3. Devuelve válido con atributos o inválido con motivo (inexistente, inactivo, fuera de vigencia, oculto).</t>
  </si>
  <si>
    <t>catalogo (texto); codigo (texto); respuesta: valido (booleano), motivo (texto), atributos (JSON)</t>
  </si>
  <si>
    <t>Resultado de validación con atributos</t>
  </si>
  <si>
    <t>TR-P03, TR-P10</t>
  </si>
  <si>
    <t>TR-RNF-102, TR-RNF-012</t>
  </si>
  <si>
    <t>TR-RF-028</t>
  </si>
  <si>
    <t>Importar tablas maestras oficiales</t>
  </si>
  <si>
    <t>El sistema debe permitir importar nuevas versiones de tablas oficiales (ubigeo INEI, CIE-10, catálogos SUNAT 01, 03, 06, 07, monedas ISO 4217) desde archivo CSV o Excel con previsualización de altas, cambios y bajas antes de aplicar.</t>
  </si>
  <si>
    <t>plat.catalogo.importar</t>
  </si>
  <si>
    <t>El actor dispone del archivo oficial con la estructura de la plantilla.</t>
  </si>
  <si>
    <t>1. El actor elige la tabla y sube el archivo.
2. El sistema almacena el archivo en TR-ARC y valida estructura y codificación UTF-8.
3. Muestra el resumen de altas, modificaciones y ítems a cerrar.
4. El actor confirma y el sistema aplica en una transacción, cierra vigencias de bajas y publica catalogo.actualizado.</t>
  </si>
  <si>
    <t>tabla (UBIGEO|CIE10|TIPO_COMPROBANTE|UNIDAD_MEDIDA|TIPO_DOC_IDENTIDAD|AFECTACION_IGV|MONEDA); archivo (CSV/XLSX ≤ 20 MB); version_oficial (texto); fecha_vigencia (fecha)</t>
  </si>
  <si>
    <t>TR-RN-012, TR-RN-013, TR-RN-027</t>
  </si>
  <si>
    <t>Tabla actualizada con versión registrada y resumen de cambios</t>
  </si>
  <si>
    <t>TR-CAT, TR-ARC, TR-EVT, TR-AUD</t>
  </si>
  <si>
    <t>TR-RNF-017, TR-RNF-013</t>
  </si>
  <si>
    <t>TR-RF-029</t>
  </si>
  <si>
    <t>Gestionar feriados y calcular días hábiles</t>
  </si>
  <si>
    <t>El sistema debe mantener feriados nacionales (globales) y días no laborables propios del tenant o sucursal, y proveer el servicio de cálculo de días hábiles (sumar y contar días hábiles) usado por plazos de ARCO, expedientes y SLA.</t>
  </si>
  <si>
    <t>plat.feriado.gestionar</t>
  </si>
  <si>
    <t>El catálogo FERIADO existe con alcance MIXTO.</t>
  </si>
  <si>
    <t>1. El administrador de plataforma registra los feriados nacionales del año.
2. El administrador del cliente registra días no laborables propios con alcance tenant o sucursal.
3. Un módulo invoca CalendarioPort.sumarDiasHabiles(fecha, n, sucursal).
4. El sistema excluye sábados y domingos según parámetro, feriados nacionales y propios, y devuelve la fecha resultante.</t>
  </si>
  <si>
    <t>fecha (fecha); nombre (texto 3-100); alcance (GLOBAL|TENANT|SUCURSAL); sucursal_id (uuid opcional); recurrente_anual (booleano); sabado_habil (parámetro BOOLEANO)</t>
  </si>
  <si>
    <t>TR-RN-012, TR-RN-014</t>
  </si>
  <si>
    <t>Fecha de vencimiento en días hábiles calculada de forma consistente</t>
  </si>
  <si>
    <t>TR-P03, TR-P11</t>
  </si>
  <si>
    <t>TR-CAT, TR-CFG</t>
  </si>
  <si>
    <t>TR-RNF-027, TR-RNF-002</t>
  </si>
  <si>
    <t>TR-RF-030</t>
  </si>
  <si>
    <t>MOD-04 · Parámetros jerárquicos (TR-CFG)</t>
  </si>
  <si>
    <t>Registrar definiciones de parámetros</t>
  </si>
  <si>
    <t>El sistema debe registrar desde el manifiesto de cada producto las definiciones de parámetros con código, tipo, valor por defecto, descripción y alcance máximo, sin perder los valores configurados por los tenants.</t>
  </si>
  <si>
    <t>plat.parametro.definir</t>
  </si>
  <si>
    <t>Se aplica el manifiesto del producto.</t>
  </si>
  <si>
    <t>1. El proceso de manifiesto envía las definiciones.
2. El sistema valida el código (producto.ambito.nombre) y que el valor por defecto corresponda al tipo.
3. Inserta las nuevas y actualiza descripción o defecto de las existentes.
4. Las definiciones retiradas se marcan obsoletas conservando valores.</t>
  </si>
  <si>
    <t>codigo (texto 3-80); producto_codigo (5); descripcion (texto 3-250); tipo (TEXTO|NUMERO|BOOLEANO|JSON); valor_defecto (JSON); alcance_maximo (TENANT|EMPRESA|SUCURSAL); esquema (JSON Schema opcional)</t>
  </si>
  <si>
    <t>Definiciones vigentes en cfg.parametro_def</t>
  </si>
  <si>
    <t>TR-CFG, TR-SEG</t>
  </si>
  <si>
    <t>TR-RNF-120, TR-RNF-027</t>
  </si>
  <si>
    <t>TR-RF-031</t>
  </si>
  <si>
    <t>Configurar valor de parámetro por alcance</t>
  </si>
  <si>
    <t>El sistema debe permitir al administrador del cliente fijar el valor de un parámetro a nivel de tenant, empresa o sucursal, validando tipo, esquema y alcance máximo, con efecto inmediato en los productos.</t>
  </si>
  <si>
    <t>plat.parametro.editar</t>
  </si>
  <si>
    <t>La definición existe y el actor tiene alcance sobre la entidad elegida.</t>
  </si>
  <si>
    <t>1. El actor busca el parámetro por producto o texto.
2. Elige el alcance y la entidad e ingresa el valor.
3. El sistema valida TR-RN-014 y TR-RN-015.
4. Guarda con usuario y fecha, invalida la caché y publica parametro.cambiado.</t>
  </si>
  <si>
    <t>codigo (texto); alcance (TENANT|EMPRESA|SUCURSAL); empresa_id, sucursal_id (según alcance); valor (JSON del tipo definido)</t>
  </si>
  <si>
    <t>TR-RN-014, TR-RN-015</t>
  </si>
  <si>
    <t>Valor guardado y vigente en ≤ 5 s</t>
  </si>
  <si>
    <t>TR-CFG, TR-AUD, TR-EVT</t>
  </si>
  <si>
    <t>TR-RNF-027, TR-RNF-013</t>
  </si>
  <si>
    <t>TR-RF-032</t>
  </si>
  <si>
    <t>Resolver valor efectivo de parámetro</t>
  </si>
  <si>
    <t>El sistema debe proveer ParametroPort.valor(codigo, contexto) que devuelva el valor efectivo resolviendo sucursal → empresa → tenant → defecto, con caché e indicación del origen.</t>
  </si>
  <si>
    <t>plat.parametro.leer</t>
  </si>
  <si>
    <t>El módulo tiene contexto de tenant y, opcionalmente, empresa y sucursal.</t>
  </si>
  <si>
    <t>1. El módulo invoca el puerto con código y contexto.
2. El sistema busca en caché; si no existe ejecuta cfg.valor.
3. Devuelve valor y origen (SUCURSAL, EMPRESA, TENANT o DEFECTO).</t>
  </si>
  <si>
    <t>codigo (texto); tenant_id, empresa_id, sucursal_id (uuid); respuesta: valor (JSON), origen (texto)</t>
  </si>
  <si>
    <t>Valor efectivo con origen</t>
  </si>
  <si>
    <t>TR-CFG</t>
  </si>
  <si>
    <t>TR-RNF-101, TR-RNF-001</t>
  </si>
  <si>
    <t>TR-RF-033</t>
  </si>
  <si>
    <t>Ver herencia y restablecer parámetro</t>
  </si>
  <si>
    <t>El sistema debe mostrar para cada parámetro el valor en cada nivel de la jerarquía y su origen efectivo, y permitir eliminar el valor de un nivel para volver a heredar del superior.</t>
  </si>
  <si>
    <t>Existe al menos un valor configurado del parámetro.</t>
  </si>
  <si>
    <t>1. El actor abre el parámetro y ve la tabla defecto, tenant, empresa y sucursales.
2. Selecciona un valor de nivel y elige restablecer.
3. El sistema solicita confirmación, elimina el valor, invalida la caché y registra la auditoría.</t>
  </si>
  <si>
    <t>codigo (texto); niveles[] (alcance, entidad, valor, modificado_por, modificado_en)</t>
  </si>
  <si>
    <t>Parámetro que vuelve a heredar del nivel superior</t>
  </si>
  <si>
    <t>TR-CFG, TR-AUD</t>
  </si>
  <si>
    <t>TR-RNF-027, TR-RNF-020</t>
  </si>
  <si>
    <t>TR-RF-034</t>
  </si>
  <si>
    <t>Consultar historial de cambios de parámetros</t>
  </si>
  <si>
    <t>El sistema debe permitir consultar el historial de cambios de un parámetro con valor anterior, valor nuevo, alcance, usuario y fecha.</t>
  </si>
  <si>
    <t>plat.parametro.historial</t>
  </si>
  <si>
    <t>Existen cambios registrados en la auditoría.</t>
  </si>
  <si>
    <t>1. El actor abre el historial del parámetro.
2. El sistema consulta TR-AUD filtrando por entidad parámetro y código.
3. Muestra la lista con antes y después en orden cronológico inverso.</t>
  </si>
  <si>
    <t>codigo (texto); fecha_desde, fecha_hasta (fecha); respuesta: alcance, valor_anterior, valor_nuevo, usuario, fecha</t>
  </si>
  <si>
    <t>Historial visible del parámetro</t>
  </si>
  <si>
    <t>TR-RNF-013, TR-RNF-002</t>
  </si>
  <si>
    <t>TR-RF-035</t>
  </si>
  <si>
    <t>MOD-05 · Correlativos y series (TR-SEQ)</t>
  </si>
  <si>
    <t>Configurar series y correlativos</t>
  </si>
  <si>
    <t>El sistema debe permitir registrar series de numeración por empresa, tipo y serie con alcance de sucursal o unidad opcional, tipo de reinicio y número inicial, validando el formato SUNAT para comprobantes.</t>
  </si>
  <si>
    <t>Administrador del cliente, Encargado de facturación del cliente</t>
  </si>
  <si>
    <t>plat.serie.gestionar</t>
  </si>
  <si>
    <t>La empresa y, si aplica, la sucursal o unidad existen.</t>
  </si>
  <si>
    <t>1. El actor elige empresa, tipo de documento y alcance.
2. Ingresa la serie, el reinicio y el último número utilizado.
3. El sistema valida unicidad (empresa, tipo, serie) y el formato de TR-RN-017 para comprobantes.
4. Guarda y publica serie.creada.</t>
  </si>
  <si>
    <t>tipo (BOLETA|FACTURA|NOTA_CREDITO|NOTA_DEBITO|TICKET|KARDEX|EXPEDIENTE|HC|ESCRITURA); serie (texto 1-10); sucursal_id, unidad_id (opcional); reinicio (NUNCA|ANUAL|DIARIO); ultimo_numero (entero ≥ 0)</t>
  </si>
  <si>
    <t>TR-RN-016, TR-RN-017, TR-RN-009</t>
  </si>
  <si>
    <t>Serie disponible para numeración</t>
  </si>
  <si>
    <t>TR-P03, TR-P04</t>
  </si>
  <si>
    <t>TR-SEQ, TR-ORG, TR-AUD</t>
  </si>
  <si>
    <t>TR-RNF-103, TR-RNF-017</t>
  </si>
  <si>
    <t>TR-RF-036</t>
  </si>
  <si>
    <t>Obtener siguiente número atómico</t>
  </si>
  <si>
    <t>El sistema debe proveer CorrelativoPort.siguiente(empresa, tipo, serie) que asigne el siguiente número de forma atómica dentro de la transacción del producto, sin duplicados ni huecos ante concurrencia.</t>
  </si>
  <si>
    <t>plat.serie.numerar</t>
  </si>
  <si>
    <t>La serie existe y está activa.</t>
  </si>
  <si>
    <t>1. El módulo invoca el puerto dentro de su transacción.
2. El sistema bloquea la fila de la serie (SELECT … FOR UPDATE) y aplica el reinicio si cambió el periodo.
3. Incrementa y devuelve serie y número.
4. Si la transacción del producto se revierte, el número no se consume.</t>
  </si>
  <si>
    <t>empresa_id (uuid); tipo (texto); serie (texto); respuesta: serie (texto), numero (bigint), numero_formateado (p. ej. B002-00000125)</t>
  </si>
  <si>
    <t>Número único y consecutivo</t>
  </si>
  <si>
    <t>TR-SEQ</t>
  </si>
  <si>
    <t>TR-RNF-103, TR-RNF-008</t>
  </si>
  <si>
    <t>TR-RF-037</t>
  </si>
  <si>
    <t>Reiniciar correlativo por periodo</t>
  </si>
  <si>
    <t>El sistema debe reiniciar automáticamente la numeración de las series con reinicio ANUAL o DIARIO al primer pedido del nuevo periodo, según la zona horaria de la sucursal.</t>
  </si>
  <si>
    <t>La serie tiene reinicio distinto de NUNCA.</t>
  </si>
  <si>
    <t>1. El módulo solicita el siguiente número.
2. El sistema calcula el periodo actual (año o fecha) en la zona horaria de la sucursal.
3. Si difiere del periodo guardado, reinicia el contador a 1 y actualiza el periodo.
4. Devuelve el número.</t>
  </si>
  <si>
    <t>periodo (texto: 2026 o 2026-10-10); zona_horaria (de la sucursal)</t>
  </si>
  <si>
    <t>Primer número del periodo igual a 1</t>
  </si>
  <si>
    <t>TR-P03, TR-P12</t>
  </si>
  <si>
    <t>TR-SEQ, TR-ORG</t>
  </si>
  <si>
    <t>TR-RNF-103, TR-RNF-026</t>
  </si>
  <si>
    <t>TR-RF-038</t>
  </si>
  <si>
    <t>Reservar bloques de numeración para operación offline</t>
  </si>
  <si>
    <t>El sistema debe permitir que el agente local reserve bloques de números de una serie exclusiva del equipo para emitir sin internet, controlando los números usados y devolviendo los no utilizados al reconectar.</t>
  </si>
  <si>
    <t>plat.serie.reservar_bloque</t>
  </si>
  <si>
    <t>La serie está marcada como serie offline del agente y el agente está enrolado.</t>
  </si>
  <si>
    <t>1. El agente solicita un bloque de N números de su serie.
2. El sistema reserva el rango de forma atómica y lo registra a nombre del agente.
3. El agente emite localmente dentro del rango.
4. Al sincronizar informa los números usados; el sistema marca usados y libera el resto si la política lo permite.</t>
  </si>
  <si>
    <t>agente_id (uuid); serie (texto); cantidad (entero 10-1000); rango_desde, rango_hasta (bigint); usados[] (bigint)</t>
  </si>
  <si>
    <t>TR-RN-016, TR-RN-046</t>
  </si>
  <si>
    <t>Rango reservado y conciliado tras la sincronización</t>
  </si>
  <si>
    <t>TR-SEQ, TR-EDGE</t>
  </si>
  <si>
    <t>TR-RNF-108, TR-RNF-103</t>
  </si>
  <si>
    <t>TR-RF-039</t>
  </si>
  <si>
    <t>MOD-06 · Personas (TR-PER)</t>
  </si>
  <si>
    <t>Registrar persona con documento</t>
  </si>
  <si>
    <t>El sistema debe proveer el registro de personas naturales o jurídicas del tenant con tipo y número de documento, nombres o razón social, completando los datos desde TR-IDN cuando el documento es DNI o RUC.</t>
  </si>
  <si>
    <t>plat.persona.registrar</t>
  </si>
  <si>
    <t>El usuario tiene permiso del producto para registrar clientes, pacientes, socios o administrados.</t>
  </si>
  <si>
    <t>1. El actor ingresa tipo y número de documento.
2. El sistema valida con atributos de TIPO_DOC_IDENTIDAD y busca si la persona ya existe en el tenant.
3. Si no existe y es DNI o RUC, consulta TR-IDN y prellena los datos.
4. El actor completa contacto y confirma.
5. El sistema crea la persona y publica persona.registrada.</t>
  </si>
  <si>
    <t>tipo_persona (NATURAL|JURIDICA); tipo_documento (TIPO_DOC_IDENTIDAD); numero (según atributos); nombres, apellido_paterno, apellido_materno (persona natural); razon_social (jurídica); celular (9 dígitos, inicia con 9); correo (opcional)</t>
  </si>
  <si>
    <t>TR-RN-002, TR-RN-031</t>
  </si>
  <si>
    <t>Persona registrada única por documento en el tenant</t>
  </si>
  <si>
    <t>TR-PER, TR-IDN, TR-CAT, TR-EVT</t>
  </si>
  <si>
    <t>TR-RNF-001, TR-RNF-010</t>
  </si>
  <si>
    <t>TR-RF-040</t>
  </si>
  <si>
    <t>Asignar rol de persona por producto</t>
  </si>
  <si>
    <t>El sistema debe permitir que una misma persona del tenant tenga roles en distintos productos (cliente, paciente, socio, administrado, contraparte) sin duplicar sus datos maestros, conforme al nivel 2 de interoperabilidad.</t>
  </si>
  <si>
    <t>plat.persona.rol</t>
  </si>
  <si>
    <t>La persona existe en el tenant.</t>
  </si>
  <si>
    <t>1. El módulo de producto solicita asignar el rol a la persona.
2. El sistema verifica que el producto esté suscrito.
3. Registra el rol con producto y fecha.
4. Los datos maestros actualizados se ven en todos los productos del tenant.</t>
  </si>
  <si>
    <t>persona_id (uuid); producto_codigo (5); rol (CLIENTE|PACIENTE|SOCIO|ADMINISTRADO|CONTRAPARTE|PROVEEDOR); desde (fecha)</t>
  </si>
  <si>
    <t>TR-RN-001, TR-RN-006</t>
  </si>
  <si>
    <t>Persona con rol activo en el producto</t>
  </si>
  <si>
    <t>TR-PER, TR-ORG</t>
  </si>
  <si>
    <t>TR-RNF-010, TR-RNF-024</t>
  </si>
  <si>
    <t>TR-RF-041</t>
  </si>
  <si>
    <t>Gestionar contactos y direcciones</t>
  </si>
  <si>
    <t>El sistema debe permitir registrar varios teléfonos, correos y direcciones con ubigeo por persona, marcando uno principal por tipo, y validar formatos peruanos.</t>
  </si>
  <si>
    <t>Usuario operativo del producto, Módulo de producto consumidor</t>
  </si>
  <si>
    <t>plat.persona.editar</t>
  </si>
  <si>
    <t>La persona existe.</t>
  </si>
  <si>
    <t>1. El actor agrega o edita un contacto o dirección.
2. El sistema valida formato (celular de 9 dígitos que inicia con 9, correo RFC 5322, ubigeo vigente).
3. Si se marca como principal, desmarca el anterior del mismo tipo.
4. Guarda y publica persona.actualizada.</t>
  </si>
  <si>
    <t>tipo_contacto (CELULAR|FIJO|CORREO|WHATSAPP); valor (texto); principal (booleano); direccion (texto 5-250); referencia (texto 0-150); ubigeo (6 dígitos)</t>
  </si>
  <si>
    <t>Contactos y direcciones actualizados</t>
  </si>
  <si>
    <t>TR-PER, TR-CAT, TR-EVT</t>
  </si>
  <si>
    <t>TR-RNF-012, TR-RNF-018</t>
  </si>
  <si>
    <t>TR-RF-042</t>
  </si>
  <si>
    <t>Detectar y fusionar personas duplicadas</t>
  </si>
  <si>
    <t>El sistema debe detectar posibles duplicados en el tenant (mismo documento con distinto tipo, mismo nombre y celular) y permitir fusionarlos conservando una ficha y reasignando las referencias de todos los productos mediante evento.</t>
  </si>
  <si>
    <t>plat.persona.fusionar</t>
  </si>
  <si>
    <t>Existen al menos dos personas candidatas.</t>
  </si>
  <si>
    <t>1. El sistema propone pares candidatos con puntaje de similitud.
2. El actor revisa ambos registros y elige la ficha que se conserva y los campos de cada una.
3. Confirma con motivo.
4. El sistema publica persona.fusionada; cada producto reasigna sus referencias y la ficha eliminada queda como alias.</t>
  </si>
  <si>
    <t>persona_conservada_id (uuid); persona_absorbida_id (uuid); campos_elegidos (JSON); motivo (texto 5-300)</t>
  </si>
  <si>
    <t>TR-RN-013, TR-RN-034</t>
  </si>
  <si>
    <t>Una sola ficha vigente con referencias reasignadas</t>
  </si>
  <si>
    <t>TR-PER, TR-EVT, TR-AUD</t>
  </si>
  <si>
    <t>TR-RF-043</t>
  </si>
  <si>
    <t>Registrar consentimientos de la persona</t>
  </si>
  <si>
    <t>El sistema debe registrar los consentimientos de tratamiento de datos de cada persona por finalidad (prestación del servicio, promociones, compartir entre productos, datos de salud), con versión del texto, canal, fecha y revocación.</t>
  </si>
  <si>
    <t>Módulo de producto consumidor, Usuario operativo del producto, Cliente final / titular de datos</t>
  </si>
  <si>
    <t>plat.persona.consentimiento</t>
  </si>
  <si>
    <t>Existe la versión vigente del texto de la finalidad para el tenant.</t>
  </si>
  <si>
    <t>1. El producto presenta el texto de la finalidad y su versión.
2. El titular acepta o rechaza cada finalidad por separado.
3. El sistema registra decisión, versión, canal, fecha y usuario que lo registró.
4. Ante revocación, marca la fecha y publica consentimiento.revocado para que TR-NOT y los productos lo respeten.</t>
  </si>
  <si>
    <t>persona_id (uuid); finalidad (PRESTACION|PROMOCIONES|COMPARTIR_PRODUCTOS|DATOS_SALUD|IDENTIDAD_PORTABLE); decision (ACEPTA|RECHAZA); version_texto (texto); canal (PRESENCIAL|WEB|WHATSAPP|KIOSCO); evidencia_archivo_id (uuid opcional)</t>
  </si>
  <si>
    <t>TR-RN-030, TR-RN-025</t>
  </si>
  <si>
    <t>Consentimiento vigente o revocado con evidencia</t>
  </si>
  <si>
    <t>TR-P10, TR-P11</t>
  </si>
  <si>
    <t>TR-PER, TR-ARC, TR-EVT, TR-AUD</t>
  </si>
  <si>
    <t>TR-RNF-016, TR-RNF-013</t>
  </si>
  <si>
    <t>TR-RF-044</t>
  </si>
  <si>
    <t>MOD-07 · Identidad e interoperabilidad (TR-IDN)</t>
  </si>
  <si>
    <t>Validar formato de DNI y RUC</t>
  </si>
  <si>
    <t>El sistema debe validar el formato de un documento antes de cualquier consulta externa: DNI de 8 dígitos y RUC de 11 dígitos con prefijo 10, 15, 17 o 20 y dígito verificador módulo 11, devolviendo un error específico.</t>
  </si>
  <si>
    <t>plat.identidad.validar</t>
  </si>
  <si>
    <t>Ninguna.</t>
  </si>
  <si>
    <t>1. El módulo invoca idn.documento_valido con tipo y número.
2. El sistema aplica las reglas del tipo.
3. Devuelve válido o el motivo (LONGITUD, PREFIJO, DIGITO_VERIFICADOR, CARACTERES).</t>
  </si>
  <si>
    <t>tipo_doc (DNI|RUC|CE|PAS); numero (texto); respuesta: valido (booleano), motivo (texto)</t>
  </si>
  <si>
    <t>Resultado de validación sin costo de consulta</t>
  </si>
  <si>
    <t>TR-IDN</t>
  </si>
  <si>
    <t>TR-RNF-001, TR-RNF-012</t>
  </si>
  <si>
    <t>TR-RF-045</t>
  </si>
  <si>
    <t>Consultar DNI con caché y proveedor</t>
  </si>
  <si>
    <t>El sistema debe consultar los nombres y apellidos asociados a un DNI buscando primero en la caché central vigente y, si no existe, en el proveedor de mayor prioridad con respaldo automático, guardando solo los campos mínimos permitidos y registrando la consulta en la bitácora del tenant.</t>
  </si>
  <si>
    <t>Módulo de producto consumidor, Usuario operativo del producto, Proveedor de identidad pública</t>
  </si>
  <si>
    <t>plat.identidad.consultar</t>
  </si>
  <si>
    <t>El DNI tiene formato válido; el tenant tiene cuota disponible o sin límite.</t>
  </si>
  <si>
    <t>1. El módulo invoca idn.consultar con tipo DNI, número y motivo.
2. Si la caché está vigente devuelve los datos con resultado CACHE.
3. Si no, reserva una unidad de cuota y llama al proveedor de prioridad 1; ante error o timeout usa el de prioridad 2.
4. Guarda en caché solo nombres y apellidos con expiración según ttl_dias del proveedor.
5. Registra la bitácora con número hasheado, usuario, producto, motivo y resultado.</t>
  </si>
  <si>
    <t>tipo_doc (DNI); numero (8 dígitos); motivo (REGISTRO_CLIENTE|EMISION_COMPROBANTE|VERIFICACION_IDENTIDAD|OTRO); respuesta: nombres, apellido_paterno, apellido_materno, fuente, consultado_en</t>
  </si>
  <si>
    <t>TR-RN-031, TR-RN-032</t>
  </si>
  <si>
    <t>Nombres del titular del DNI o NO_ENCONTRADO</t>
  </si>
  <si>
    <t>TR-IDN, TR-AUD</t>
  </si>
  <si>
    <t>TR-RNF-007, TR-RNF-111, TR-RNF-001</t>
  </si>
  <si>
    <t>TR-RF-046</t>
  </si>
  <si>
    <t>Consultar RUC con estado y condición</t>
  </si>
  <si>
    <t>El sistema debe consultar la razón social, estado, condición y domicilio fiscal de un RUC con caché y bitácora, e indicar si el contribuyente puede recibir factura.</t>
  </si>
  <si>
    <t>Módulo de producto consumidor, Encargado de facturación del cliente, Proveedor de identidad pública</t>
  </si>
  <si>
    <t>El RUC tiene formato válido.</t>
  </si>
  <si>
    <t>1. El módulo invoca idn.consultar con tipo RUC.
2. El sistema resuelve desde caché o proveedor SUNAT_PADRON.
3. Devuelve los datos y el indicador apto_factura (estado ACTIVO y condición HABIDO).
4. Registra la bitácora.</t>
  </si>
  <si>
    <t>tipo_doc (RUC); numero (11 dígitos); respuesta: razon_social, estado, condicion, direccion_fiscal, ubigeo, apto_factura (booleano)</t>
  </si>
  <si>
    <t>TR-RN-019, TR-RN-031, TR-RN-032</t>
  </si>
  <si>
    <t>Datos del contribuyente con indicador para facturar</t>
  </si>
  <si>
    <t>TR-P10, TR-P04</t>
  </si>
  <si>
    <t>TR-RNF-007, TR-RNF-111</t>
  </si>
  <si>
    <t>TR-RF-047</t>
  </si>
  <si>
    <t>Controlar cuota de consultas por plan</t>
  </si>
  <si>
    <t>El sistema debe controlar la cuota mensual de consultas al proveedor por tenant según su plan, mostrar el consumo, avisar al 80 % y responder CUOTA_AGOTADA al 100 % sin bloquear el registro manual de datos.</t>
  </si>
  <si>
    <t>Administrador de plataforma, Administrador del cliente, Planificador de tareas</t>
  </si>
  <si>
    <t>plat.identidad.cuota</t>
  </si>
  <si>
    <t>El plan del tenant define consultas incluidas.</t>
  </si>
  <si>
    <t>1. Al inicio de cada mes el planificador crea la cuota del periodo con las consultas incluidas.
2. Cada consulta al proveedor reserva una unidad de forma atómica.
3. Al llegar al 80 % se notifica al administrador del cliente.
4. Al 100 % las consultas devuelven CUOTA_AGOTADA y el producto permite ingreso manual.</t>
  </si>
  <si>
    <t>tenant_id (uuid); periodo (AAAA-MM); incluidas (entero); consumidas (entero); umbral_aviso (parámetro, por defecto 80 %)</t>
  </si>
  <si>
    <t>Consumo controlado y visible por tenant</t>
  </si>
  <si>
    <t>TR-P10, TR-P01</t>
  </si>
  <si>
    <t>TR-IDN, TR-NOT, TR-ORG</t>
  </si>
  <si>
    <t>TR-RNF-128, TR-RNF-007</t>
  </si>
  <si>
    <t>TR-RF-048</t>
  </si>
  <si>
    <t>Solicitar autorización de identidad portable</t>
  </si>
  <si>
    <t>El sistema debe permitir que un tenant solicite al titular de una identidad portable autorización para acceder a campos específicos con una finalidad, enviando al titular un código de un solo uso que nunca se revela al tenant.</t>
  </si>
  <si>
    <t>plat.identidad.portable_solicitar</t>
  </si>
  <si>
    <t>El titular existe en idn.titular con celular o correo verificado; el tenant tiene el producto suscrito.</t>
  </si>
  <si>
    <t>1. El usuario selecciona los campos de la lista cerrada y escribe la finalidad.
2. El sistema verifica el límite de 3 solicitudes por titular y tenant al día.
3. Crea la solicitud PENDIENTE con el código hasheado y expiración de 10 minutos.
4. Envía el código al titular por SMS, WhatsApp o correo mediante TR-NOT, mostrando el nombre del negocio y la finalidad.</t>
  </si>
  <si>
    <t>tipo_doc, numero (del titular); campos[] (nombres|celular|correo|direccion|fecha_nacimiento|contacto_emergencia); finalidad (texto 10-200); empresa_id (uuid)</t>
  </si>
  <si>
    <t>TR-RN-033, TR-RN-030</t>
  </si>
  <si>
    <t>Solicitud pendiente y código enviado al titular</t>
  </si>
  <si>
    <t>TR-IDN, TR-NOT, TR-AUD</t>
  </si>
  <si>
    <t>TR-RNF-016, TR-RNF-111</t>
  </si>
  <si>
    <t>TR-RF-049</t>
  </si>
  <si>
    <t>Confirmar autorización con código</t>
  </si>
  <si>
    <t>El sistema debe permitir que el titular apruebe o rechace la solicitud ingresando el código recibido, con máximo 5 intentos, generando una autorización con vigencia que reemplaza a la anterior del mismo tenant.</t>
  </si>
  <si>
    <t>publico.identidad.autorizar</t>
  </si>
  <si>
    <t>Existe una solicitud PENDIENTE no expirada.</t>
  </si>
  <si>
    <t>1. El titular ingresa el código en el dispositivo del tenant o en el portal.
2. El sistema compara el hash y cuenta el intento.
3. Si es correcto crea la autorización con campos, finalidad y vigencia, y revoca la anterior vigente del mismo tenant.
4. Si se superan 5 intentos la solicitud pasa a BLOQUEADA.</t>
  </si>
  <si>
    <t>solicitud_id (uuid); codigo (6 dígitos); vigencia (parámetro, por defecto 12 meses)</t>
  </si>
  <si>
    <t>Autorización vigente o solicitud rechazada o bloqueada</t>
  </si>
  <si>
    <t>TR-RNF-016, TR-RNF-015</t>
  </si>
  <si>
    <t>TR-RF-050</t>
  </si>
  <si>
    <t>Entregar datos autorizados y registrar acceso</t>
  </si>
  <si>
    <t>El sistema debe entregar al tenant solo los campos autorizados y vigentes del titular, registrando cada lectura con usuario y campos para que el titular pueda verla.</t>
  </si>
  <si>
    <t>plat.identidad.portable_leer</t>
  </si>
  <si>
    <t>Existe autorización vigente no revocada.</t>
  </si>
  <si>
    <t>1. El módulo solicita los datos del titular para el tenant.
2. El sistema filtra los campos autorizados.
3. Registra el acceso en idn.acceso_titular.
4. Devuelve los datos para prellenar la ficha de persona.</t>
  </si>
  <si>
    <t>titular (tipo_doc, numero); respuesta: campos autorizados con valores</t>
  </si>
  <si>
    <t>Datos portables entregados y acceso registrado</t>
  </si>
  <si>
    <t>TR-IDN, TR-PER, TR-AUD</t>
  </si>
  <si>
    <t>TR-RNF-013, TR-RNF-016</t>
  </si>
  <si>
    <t>TR-RF-051</t>
  </si>
  <si>
    <t>Revocar autorizaciones y ver accesos del titular</t>
  </si>
  <si>
    <t>El sistema debe permitir al titular, desde el portal de la plataforma, ver qué negocios tienen autorización, qué campos y cuándo accedieron, y revocar cualquier autorización con efecto inmediato.</t>
  </si>
  <si>
    <t>publico.identidad.mis_autorizaciones</t>
  </si>
  <si>
    <t>El titular inició sesión verificando su celular o correo.</t>
  </si>
  <si>
    <t>1. El titular abre «Mis autorizaciones».
2. El sistema lista autorizaciones con negocio, campos, finalidad, vigencia y últimos accesos.
3. El titular revoca una autorización y confirma.
4. El sistema ejecuta idn.revocar y notifica al tenant.</t>
  </si>
  <si>
    <t>autorizacion_id (uuid); revocada_en (fecha-hora)</t>
  </si>
  <si>
    <t>TR-RN-030, TR-RN-033</t>
  </si>
  <si>
    <t>Autorización revocada e historial de accesos visible</t>
  </si>
  <si>
    <t>TR-IDN, TR-POR, TR-NOT</t>
  </si>
  <si>
    <t>TR-RNF-016, TR-RNF-019</t>
  </si>
  <si>
    <t>TR-RF-052</t>
  </si>
  <si>
    <t>MOD-08 · Facturación electrónica (TR-FE)</t>
  </si>
  <si>
    <t>Configurar emisor electrónico</t>
  </si>
  <si>
    <t>El sistema debe permitir al encargado de facturación configurar por empresa el emisor electrónico: proveedor PSE/OSE, credenciales, certificado digital (PFX) con su clave, ambiente beta o producción, régimen de IGV y datos del pie de comprobante, guardando secretos cifrados.</t>
  </si>
  <si>
    <t>plat.fe.configurar</t>
  </si>
  <si>
    <t>La empresa tiene RUC activo; el actor tiene MFA vigente.</t>
  </si>
  <si>
    <t>1. El actor elige el proveedor PSE/OSE e ingresa credenciales.
2. Sube el certificado digital y su clave.
3. El sistema valida que el certificado corresponda al RUC, esté vigente y lo guarda en el gestor de secretos.
4. El actor ejecuta un envío de prueba en beta.
5. El sistema muestra el resultado y permite pasar a producción.</t>
  </si>
  <si>
    <t>proveedor (catálogo PROVEEDOR_FE); usuario_sol o client_id (texto); clave (secreto); certificado (archivo .pfx ≤ 50 KB); clave_certificado (secreto); ambiente (BETA|PRODUCCION); regimen_igv (GENERAL|REDUCIDO_RESTAURANTES); leyenda_pie (texto 0-300)</t>
  </si>
  <si>
    <t>TR-RN-009, TR-RN-021</t>
  </si>
  <si>
    <t>Emisor configurado y verificado; alerta 30 días antes del vencimiento del certificado</t>
  </si>
  <si>
    <t>TR-P04, TR-P01</t>
  </si>
  <si>
    <t>TR-FE, TR-ARC, TR-AUD, TR-NOT</t>
  </si>
  <si>
    <t>TR-RNF-113, TR-RNF-017</t>
  </si>
  <si>
    <t>TR-RF-053</t>
  </si>
  <si>
    <t>Emitir factura electrónica</t>
  </si>
  <si>
    <t>El sistema debe emitir facturas electrónicas a solicitud de un producto: validar el adquirente con RUC, calcular impuestos por línea, asignar serie y número, generar el XML UBL 2.1 firmado y encolarlo para envío al PSE/OSE en la misma transacción de la venta.</t>
  </si>
  <si>
    <t>plat.fe.emitir</t>
  </si>
  <si>
    <t>El emisor está configurado en producción o beta; existe la serie F### de la sucursal.</t>
  </si>
  <si>
    <t>1. El producto envía cabecera (adquirente, moneda, forma de pago contado o crédito con cuotas) y líneas (código, descripción, unidad, cantidad, valor unitario, afectación IGV).
2. El sistema valida el RUC del adquirente con TR-IDN y los códigos de catálogos SUNAT.
3. Calcula subtotales, IGV y total con TR-RN-021.
4. Obtiene número con TR-SEQ, genera y firma el XML y registra el comprobante en estado PENDIENTE_ENVIO.
5. Publica cpe.emitido y encola el envío.</t>
  </si>
  <si>
    <t>tipo (01); serie (F###); adquirente (RUC, razón social); moneda (PEN|USD); forma_pago (CONTADO|CREDITO); cuotas[] (monto, fecha) si crédito; lineas[] (codigo, descripcion, unidad UNIDAD_MEDIDA, cantidad &gt; 0, valor_unitario ≥ 0, afectacion AFECTACION_IGV); clave_idempotencia (uuid)</t>
  </si>
  <si>
    <t>TR-RN-017, TR-RN-019, TR-RN-021, TR-RN-016</t>
  </si>
  <si>
    <t>Comprobante F###-######## registrado con XML firmado y en cola</t>
  </si>
  <si>
    <t>TR-FE, TR-SEQ, TR-IDN, TR-CAT, TR-EVT</t>
  </si>
  <si>
    <t>TR-RNF-017, TR-RNF-008, TR-RNF-104</t>
  </si>
  <si>
    <t>TR-RF-054</t>
  </si>
  <si>
    <t>Emitir boleta de venta electrónica</t>
  </si>
  <si>
    <t>El sistema debe emitir boletas electrónicas, exigiendo la identificación del adquirente cuando el total supere S/ 700,00 y permitiendo cliente varios por debajo de ese monto.</t>
  </si>
  <si>
    <t>Existe la serie B### de la sucursal.</t>
  </si>
  <si>
    <t>1. El producto envía la venta con o sin adquirente.
2. El sistema aplica TR-RN-018 según el total.
3. Calcula impuestos, asigna número, genera y firma el XML.
4. Registra la boleta para envío individual o inclusión en el resumen diario según configuración.</t>
  </si>
  <si>
    <t>tipo (03); serie (B###); adquirente (tipo y número de documento, nombres) opcional según monto; lineas[]; modo_envio (INDIVIDUAL|RESUMEN)</t>
  </si>
  <si>
    <t>TR-RN-017, TR-RN-018, TR-RN-021</t>
  </si>
  <si>
    <t>Boleta registrada con XML firmado</t>
  </si>
  <si>
    <t>TR-FE, TR-SEQ, TR-CAT, TR-EVT</t>
  </si>
  <si>
    <t>TR-RNF-017, TR-RNF-001</t>
  </si>
  <si>
    <t>TR-RF-055</t>
  </si>
  <si>
    <t>Emitir nota de crédito</t>
  </si>
  <si>
    <t>El sistema debe emitir notas de crédito vinculadas a un comprobante aceptado, con el tipo de nota del catálogo SUNAT 09 y motivo, validando que el monto acumulado de notas no supere el comprobante de origen.</t>
  </si>
  <si>
    <t>Módulo de producto consumidor, Encargado de facturación del cliente</t>
  </si>
  <si>
    <t>plat.fe.nota_credito</t>
  </si>
  <si>
    <t>El comprobante de origen está aceptado; el actor tiene permiso sensible del producto.</t>
  </si>
  <si>
    <t>1. El producto o el encargado selecciona el comprobante y el tipo de nota (anulación, descuento, devolución, corrección).
2. Ingresa motivo y, si es parcial, las líneas o montos.
3. El sistema valida el saldo disponible del comprobante.
4. Asigna número en una serie F### o B### según el comprobante afectado, genera, firma y encola.
5. Publica cpe.nota_emitida.</t>
  </si>
  <si>
    <t>comprobante_origen (serie-número); tipo_nota (catálogo SUNAT 09); motivo (texto 5-250); lineas[] o monto (parcial); clave_idempotencia (uuid)</t>
  </si>
  <si>
    <t>TR-RN-022, TR-RN-017, TR-RN-021</t>
  </si>
  <si>
    <t>Nota de crédito registrada y saldo del comprobante actualizado</t>
  </si>
  <si>
    <t>TR-P04, TR-P05</t>
  </si>
  <si>
    <t>TR-FE, TR-SEQ, TR-CAT, TR-AUD, TR-EVT</t>
  </si>
  <si>
    <t>TR-RNF-017, TR-RNF-021, TR-RNF-030</t>
  </si>
  <si>
    <t>TR-RF-056</t>
  </si>
  <si>
    <t>Emitir nota de débito</t>
  </si>
  <si>
    <t>El sistema debe emitir notas de débito vinculadas a un comprobante aceptado por intereses, penalidades o aumento de valor, según el catálogo SUNAT 10.</t>
  </si>
  <si>
    <t>plat.fe.nota_debito</t>
  </si>
  <si>
    <t>El comprobante de origen está aceptado.</t>
  </si>
  <si>
    <t>1. El actor selecciona el comprobante, el tipo de nota de débito y el motivo.
2. Ingresa el monto adicional.
3. El sistema calcula impuestos, asigna número, genera, firma y encola.</t>
  </si>
  <si>
    <t>comprobante_origen (serie-número); tipo_nota (catálogo SUNAT 10); motivo (texto 5-250); monto (decimal &gt; 0)</t>
  </si>
  <si>
    <t>TR-RN-022, TR-RN-021</t>
  </si>
  <si>
    <t>Nota de débito registrada</t>
  </si>
  <si>
    <t>TR-FE, TR-SEQ, TR-CAT</t>
  </si>
  <si>
    <t>TR-RNF-017</t>
  </si>
  <si>
    <t>TR-RF-057</t>
  </si>
  <si>
    <t>Enviar resumen diario de boletas</t>
  </si>
  <si>
    <t>El sistema debe generar y enviar automáticamente el resumen diario de boletas y sus notas emitidas en modo resumen, consultar su ticket de procesamiento y actualizar el estado de cada comprobante incluido.</t>
  </si>
  <si>
    <t>Planificador de tareas, PSE/OSE y SUNAT</t>
  </si>
  <si>
    <t>Existen boletas en modo RESUMEN pendientes de informar.</t>
  </si>
  <si>
    <t>1. El planificador ejecuta el resumen a la hora configurada (por defecto 23:00) por empresa.
2. El sistema agrupa boletas y notas del día por fecha de emisión, genera y firma el XML del resumen.
3. Envía al PSE/OSE y obtiene el número de ticket.
4. Consulta el ticket hasta obtener el CDR y actualiza el estado de cada boleta.</t>
  </si>
  <si>
    <t>fecha_emision (fecha); empresa_id (uuid); boletas[] (serie-número, estado: ADICIONAR|MODIFICAR|ANULAR); ticket (texto); estado_resumen (ENVIADO|ACEPTADO|RECHAZADO)</t>
  </si>
  <si>
    <t>Boletas del día aceptadas o con incidencia identificada</t>
  </si>
  <si>
    <t>TR-FE, TR-CFG, TR-OBS</t>
  </si>
  <si>
    <t>TR-RNF-104, TR-RNF-105</t>
  </si>
  <si>
    <t>TR-RF-058</t>
  </si>
  <si>
    <t>Comunicar baja de comprobantes</t>
  </si>
  <si>
    <t>El sistema debe permitir anular facturas y sus notas mediante comunicación de baja dentro del plazo vigente, y boletas mediante resumen con estado ANULAR, registrando motivo y usuario.</t>
  </si>
  <si>
    <t>plat.fe.baja</t>
  </si>
  <si>
    <t>El comprobante está aceptado, no fue entregado o la norma lo permite y está dentro del plazo.</t>
  </si>
  <si>
    <t>1. El actor selecciona el comprobante y escribe el motivo.
2. El sistema valida plazo y que no tenga notas vinculadas.
3. Genera la comunicación de baja o incluye la boleta en el resumen con estado ANULAR.
4. Procesa el ticket y marca el comprobante como ANULADO al aceptarse.</t>
  </si>
  <si>
    <t>comprobante (serie-número); motivo (texto 5-100); fecha_baja (fecha)</t>
  </si>
  <si>
    <t>TR-RN-020, TR-RN-022, TR-RN-009</t>
  </si>
  <si>
    <t>Comprobante ANULADO con constancia</t>
  </si>
  <si>
    <t>TR-FE, TR-AUD, TR-SEG</t>
  </si>
  <si>
    <t>TR-RNF-021, TR-RNF-017</t>
  </si>
  <si>
    <t>TR-RF-059</t>
  </si>
  <si>
    <t>Procesar respuesta y CDR del OSE</t>
  </si>
  <si>
    <t>El sistema debe enviar los comprobantes encolados al PSE/OSE, almacenar el CDR y actualizar el estado (ACEPTADO, ACEPTADO_CON_OBSERVACIONES, RECHAZADO), publicando el evento correspondiente al producto de origen.</t>
  </si>
  <si>
    <t>Hay comprobantes en PENDIENTE_ENVIO.</t>
  </si>
  <si>
    <t>1. El worker toma el comprobante de la cola.
2. Lo envía al adaptador del PSE/OSE configurado.
3. Guarda XML y CDR en TR-ARC con hash.
4. Actualiza el estado y los códigos y descripciones de observación o error.
5. Publica cpe.aceptado o cpe.rechazado.</t>
  </si>
  <si>
    <t>comprobante_id (uuid); codigo_respuesta (texto); descripcion (texto); observaciones[] (código, descripción); cdr_archivo_id (uuid)</t>
  </si>
  <si>
    <t>Estado final del comprobante y CDR almacenado</t>
  </si>
  <si>
    <t>TR-FE, TR-ARC, TR-EVT</t>
  </si>
  <si>
    <t>TR-RNF-104, TR-RNF-007</t>
  </si>
  <si>
    <t>TR-RF-060</t>
  </si>
  <si>
    <t>Reintentar envíos y operar en contingencia</t>
  </si>
  <si>
    <t>El sistema debe reintentar con espera exponencial los envíos fallidos por errores técnicos, abrir el circuito ante caída del PSE/OSE sin bloquear la venta, y alertar cuando un comprobante esté a 24 horas de vencer su plazo de envío.</t>
  </si>
  <si>
    <t>Existen comprobantes con fallo técnico de envío.</t>
  </si>
  <si>
    <t>1. El worker detecta error técnico (timeout, 5xx).
2. Programa reintentos con espera 1, 5, 15, 60 minutos y luego cada hora.
3. Si falla el 50 % de envíos en 5 minutos, abre el circuito y pausa el envío por 5 minutos.
4. Los productos siguen emitiendo y los comprobantes quedan en cola.
5. A 24 horas del vencimiento del plazo de envío se crea una alerta y un ticket P2.</t>
  </si>
  <si>
    <t>intentos (entero); proximo_intento (fecha-hora); estado_circuito (CERRADO|ABIERTO|SEMIABIERTO); vence_envio (fecha-hora)</t>
  </si>
  <si>
    <t>Comprobantes enviados al recuperarse el servicio sin vencer plazos</t>
  </si>
  <si>
    <t>TR-P04, TR-P09</t>
  </si>
  <si>
    <t>TR-FE, TR-OBS, TR-SOP</t>
  </si>
  <si>
    <t>TR-RNF-105, TR-RNF-007</t>
  </si>
  <si>
    <t>TR-RF-061</t>
  </si>
  <si>
    <t>Generar representación impresa</t>
  </si>
  <si>
    <t>El sistema debe generar la representación impresa del comprobante en formato A4 (PDF) y ticket de 80 mm con logo, código QR con los campos exigidos y hash, para descarga e impresión desde el agente local.</t>
  </si>
  <si>
    <t>plat.fe.pdf</t>
  </si>
  <si>
    <t>El comprobante está registrado.</t>
  </si>
  <si>
    <t>1. El producto solicita la representación en formato A4 o TICKET80.
2. El sistema arma la plantilla con datos del emisor, adquirente, líneas, totales, leyendas y QR.
3. Genera el PDF o el texto ESC/POS y lo guarda en TR-ARC.
4. Devuelve la URL firmada o envía al agente local para imprimir.</t>
  </si>
  <si>
    <t>comprobante_id (uuid); formato (A4|TICKET80); logo (archivo de la empresa); qr (RUC|tipo|serie|número|IGV|total|fecha|tipo doc adquirente|número doc adquirente|hash)</t>
  </si>
  <si>
    <t>PDF o ticket disponible e imprimible</t>
  </si>
  <si>
    <t>TR-FE, TR-ARC, TR-EDGE</t>
  </si>
  <si>
    <t>TR-RF-062</t>
  </si>
  <si>
    <t>Entregar comprobante al cliente</t>
  </si>
  <si>
    <t>El sistema debe enviar al adquirente el PDF y XML del comprobante aceptado por correo o WhatsApp según sus datos y preferencias, y ofrecer una página pública de consulta por RUC emisor, tipo, serie, número, fecha y total.</t>
  </si>
  <si>
    <t>Módulo de producto consumidor, Cliente final / titular de datos</t>
  </si>
  <si>
    <t>plat.fe.entregar</t>
  </si>
  <si>
    <t>El comprobante está ACEPTADO.</t>
  </si>
  <si>
    <t>1. Al publicarse cpe.aceptado, el sistema verifica si el adquirente tiene correo o celular.
2. Envía la notificación con plantilla CPE_EMITIDO y enlace firmado.
3. El cliente puede consultar en la página pública ingresando los datos del comprobante.
4. El sistema valida los datos y permite descargar PDF y XML.</t>
  </si>
  <si>
    <t>canal (CORREO|WHATSAPP); destinatario (correo o celular); consulta_publica: ruc_emisor, tipo, serie, numero, fecha_emision, total</t>
  </si>
  <si>
    <t>TR-RN-025, TR-RN-027</t>
  </si>
  <si>
    <t>Cliente con acceso a su comprobante</t>
  </si>
  <si>
    <t>TR-P04, TR-P06</t>
  </si>
  <si>
    <t>TR-FE, TR-NOT, TR-ARC, TR-POR</t>
  </si>
  <si>
    <t>TR-RNF-017, TR-RNF-015, TR-RNF-004</t>
  </si>
  <si>
    <t>TR-RF-063</t>
  </si>
  <si>
    <t>Monitorear comprobantes pendientes y rechazados</t>
  </si>
  <si>
    <t>El sistema debe ofrecer al encargado de facturación un tablero de comprobantes por estado, fecha y sucursal, con detalle del error, reenvío manual, descarga de XML y CDR y exportación.</t>
  </si>
  <si>
    <t>plat.fe.monitorear</t>
  </si>
  <si>
    <t>El emisor está configurado.</t>
  </si>
  <si>
    <t>1. El actor filtra por fecha, sucursal, tipo y estado.
2. El sistema muestra totales por estado y la lista paginada.
3. El actor abre un comprobante rechazado y ve el error.
4. Puede reenviar los fallidos técnicos o exportar la lista.</t>
  </si>
  <si>
    <t>fecha_desde, fecha_hasta (fecha); sucursal_id; tipo (01|03|07|08); estado (PENDIENTE_ENVIO|ENVIADO|ACEPTADO|ACEPTADO_CON_OBSERVACIONES|RECHAZADO|ANULADO)</t>
  </si>
  <si>
    <t>Visibilidad completa del estado tributario de la empresa</t>
  </si>
  <si>
    <t>TR-P04, TR-P13</t>
  </si>
  <si>
    <t>TR-FE, TR-REP</t>
  </si>
  <si>
    <t>TR-RNF-002, TR-RNF-104</t>
  </si>
  <si>
    <t>TR-RF-064</t>
  </si>
  <si>
    <t>Exportar registro de ventas electrónico</t>
  </si>
  <si>
    <t>El sistema debe generar por empresa y periodo el registro de ventas con los comprobantes y notas emitidos en el formato de exportación requerido para su presentación en SIRE (verificar estructura vigente), con totales por tipo.</t>
  </si>
  <si>
    <t>plat.fe.registro_ventas</t>
  </si>
  <si>
    <t>Existen comprobantes del periodo.</t>
  </si>
  <si>
    <t>1. El actor elige empresa y periodo.
2. El sistema consolida comprobantes aceptados, anulados y notas.
3. Genera el archivo en el formato de exportación y un resumen en Excel.
4. Registra la exportación en auditoría.</t>
  </si>
  <si>
    <t>empresa_id (uuid); periodo (AAAA-MM); formato (SIRE_TXT|EXCEL)</t>
  </si>
  <si>
    <t>Archivo del registro de ventas descargable</t>
  </si>
  <si>
    <t>R3</t>
  </si>
  <si>
    <t>TR-FE, TR-REP, TR-AUD</t>
  </si>
  <si>
    <t>TR-RNF-017, TR-RNF-125</t>
  </si>
  <si>
    <t>TR-RF-065</t>
  </si>
  <si>
    <t>MOD-09 · Pagos y conciliación (TR-PAG)</t>
  </si>
  <si>
    <t>Configurar pasarela de pagos por empresa</t>
  </si>
  <si>
    <t>El sistema debe permitir configurar por empresa una o más pasarelas (tarjeta, Yape/Plin, links de pago) con credenciales cifradas, secreto de webhook, comisión pactada, medios habilitados y ambiente de pruebas o producción.</t>
  </si>
  <si>
    <t>Encargado de facturación del cliente, Administrador del cliente</t>
  </si>
  <si>
    <t>plat.pago.configurar</t>
  </si>
  <si>
    <t>La empresa existe; el actor tiene MFA vigente.</t>
  </si>
  <si>
    <t>1. El actor elige la pasarela del catálogo PASARELA y el ambiente.
2. Ingresa llave pública, llave privada y secreto de webhook.
3. Define medios habilitados y comisión pactada.
4. El sistema guarda los secretos en el gestor de secretos y ejecuta una transacción de prueba de S/ 1,00 en ambiente de pruebas.</t>
  </si>
  <si>
    <t>pasarela (catálogo PASARELA); ambiente (PRUEBAS|PRODUCCION); llave_publica (texto); llave_privada (secreto); secreto_webhook (secreto); medios[] (TARJETA|YAPE|PLIN|LINK); comision_pct (decimal 0-10); comision_fija (decimal ≥ 0)</t>
  </si>
  <si>
    <t>TR-RN-023, TR-RN-009</t>
  </si>
  <si>
    <t>Pasarela operativa para la empresa</t>
  </si>
  <si>
    <t>TR-PAG, TR-AUD</t>
  </si>
  <si>
    <t>TR-RNF-113, TR-RNF-121</t>
  </si>
  <si>
    <t>TR-RF-066</t>
  </si>
  <si>
    <t>Crear intención de cobro con tarjeta</t>
  </si>
  <si>
    <t>El sistema debe permitir a un producto crear una intención de cobro con monto, moneda, descripción y referencia, y devolver los datos para que el componente &lt;ui-checkout&gt; tokenice la tarjeta en la pasarela sin que los datos de tarjeta pasen por la plataforma.</t>
  </si>
  <si>
    <t>plat.pago.cobrar</t>
  </si>
  <si>
    <t>La empresa tiene pasarela con medio TARJETA habilitado.</t>
  </si>
  <si>
    <t>1. El producto crea la intención con clave de idempotencia y referencia de negocio.
2. El sistema registra el pago en estado PENDIENTE y solicita la orden a la pasarela.
3. El checkout tokeniza la tarjeta en la pasarela y confirma el cargo.
4. El estado final se recibe por webhook (TR-RN-023).</t>
  </si>
  <si>
    <t>monto (decimal &gt; 0, 2 decimales); moneda (PEN|USD); descripcion (texto 3-200); referencia_tipo (texto, p. ej. VENTA, CITA, PEDIDO_WEB); referencia_id (uuid); correo_pagador (correo); clave_idempotencia (uuid)</t>
  </si>
  <si>
    <t>Pago PENDIENTE con orden en la pasarela</t>
  </si>
  <si>
    <t>TR-PAG, TR-EVT</t>
  </si>
  <si>
    <t>TR-RNF-008, TR-RNF-011, TR-RNF-007</t>
  </si>
  <si>
    <t>TR-RF-067</t>
  </si>
  <si>
    <t>Cobrar con Yape o Plin</t>
  </si>
  <si>
    <t>El sistema debe permitir cobros con billeteras Yape o Plin mediante QR dinámico o código de aprobación según la pasarela, con expiración de la solicitud y confirmación por webhook.</t>
  </si>
  <si>
    <t>La pasarela tiene habilitado el medio YAPE o PLIN.</t>
  </si>
  <si>
    <t>1. El producto solicita el cobro con medio YAPE o PLIN.
2. El sistema genera el QR dinámico o solicita el celular y el código de aprobación.
3. Muestra el QR con expiración de 5 minutos.
4. Al recibir el webhook confirma el pago y publica pago.confirmado.</t>
  </si>
  <si>
    <t>medio (YAPE|PLIN); monto (decimal &gt; 0); celular (9 dígitos, si usa código); codigo_aprobacion (6 dígitos, si aplica); expira_en (fecha-hora)</t>
  </si>
  <si>
    <t>Pago confirmado o expirado</t>
  </si>
  <si>
    <t>TR-RNF-001, TR-RNF-007</t>
  </si>
  <si>
    <t>TR-RF-068</t>
  </si>
  <si>
    <t>Generar link de pago</t>
  </si>
  <si>
    <t>El sistema debe generar links de pago con monto, concepto y fecha de vencimiento, enviarlos por WhatsApp o correo mediante TR-NOT y actualizar el estado al pagarse o vencer.</t>
  </si>
  <si>
    <t>plat.pago.link</t>
  </si>
  <si>
    <t>La pasarela tiene habilitado el medio LINK.</t>
  </si>
  <si>
    <t>1. El actor o el producto crea el link con monto, concepto y vencimiento.
2. El sistema genera la URL corta en la pasarela y registra el pago PENDIENTE.
3. Envía el link al cliente.
4. Al pagar se confirma por webhook; al vencer pasa a EXPIRADO.</t>
  </si>
  <si>
    <t>monto (decimal &gt; 0); concepto (texto 3-150); vence_en (fecha-hora, máximo 30 días); destinatario (celular o correo); referencia (tipo e id)</t>
  </si>
  <si>
    <t>TR-RN-023, TR-RN-025</t>
  </si>
  <si>
    <t>Link de pago enviado y estado sincronizado</t>
  </si>
  <si>
    <t>TR-P05, TR-P06</t>
  </si>
  <si>
    <t>TR-PAG, TR-NOT, TR-EVT</t>
  </si>
  <si>
    <t>TR-RNF-007, TR-RNF-124</t>
  </si>
  <si>
    <t>TR-RF-069</t>
  </si>
  <si>
    <t>Procesar webhook de la pasarela</t>
  </si>
  <si>
    <t>El sistema debe recibir los webhooks de las pasarelas, verificar firma y marca de tiempo, procesarlos de forma idempotente por identificador de transacción y actualizar el estado del pago, publicando pago.confirmado, pago.fallido o reembolso.confirmado.</t>
  </si>
  <si>
    <t>publico.webhook.pasarela</t>
  </si>
  <si>
    <t>La pasarela tiene configurado el secreto de webhook.</t>
  </si>
  <si>
    <t>1. La pasarela envía el webhook a /v1/pagos/webhooks/{pasarela}.
2. El sistema verifica la firma HMAC y que la marca de tiempo no difiera más de 5 minutos.
3. Si el identificador de transacción ya fue procesado, responde 200 sin cambios.
4. Actualiza el pago y publica el evento en el outbox.
5. Responde 200 en menos de 2 segundos.</t>
  </si>
  <si>
    <t>pasarela (ruta); cabecera de firma; id_transaccion (texto); estado (APROBADO|RECHAZADO|REEMBOLSADO); monto; moneda; marca_tiempo</t>
  </si>
  <si>
    <t>Pago actualizado y evento publicado</t>
  </si>
  <si>
    <t>TR-PAG, TR-EVT, TR-AUD</t>
  </si>
  <si>
    <t>TR-RNF-109, TR-RNF-008</t>
  </si>
  <si>
    <t>TR-RF-070</t>
  </si>
  <si>
    <t>Reembolsar pago</t>
  </si>
  <si>
    <t>El sistema debe permitir reembolsos totales o parciales de pagos confirmados con motivo obligatorio, confirmación explícita y MFA, sin exceder el monto cobrado menos reembolsos previos.</t>
  </si>
  <si>
    <t>Encargado de facturación del cliente, Administrador del cliente, Módulo de producto consumidor</t>
  </si>
  <si>
    <t>plat.pago.reembolsar</t>
  </si>
  <si>
    <t>El pago está CONFIRMADO; el actor tiene el permiso sensible.</t>
  </si>
  <si>
    <t>1. El actor selecciona el pago e indica monto y motivo.
2. El sistema valida el saldo reembolsable y solicita confirmación y MFA.
3. Solicita el reembolso a la pasarela y registra el reembolso PENDIENTE.
4. Al confirmarse por webhook publica reembolso.confirmado para que el producto emita la nota de crédito.</t>
  </si>
  <si>
    <t>pago_id (uuid); monto (decimal &gt; 0 y ≤ saldo); motivo (texto 10-300)</t>
  </si>
  <si>
    <t>TR-RN-009, TR-RN-023</t>
  </si>
  <si>
    <t>Reembolso registrado y confirmado</t>
  </si>
  <si>
    <t>TR-PAG, TR-SEG, TR-AUD, TR-EVT</t>
  </si>
  <si>
    <t>TR-RNF-021, TR-RNF-030, TR-RNF-009</t>
  </si>
  <si>
    <t>TR-RF-071</t>
  </si>
  <si>
    <t>Gestionar cobros recurrentes</t>
  </si>
  <si>
    <t>El sistema debe permitir suscribir a un cliente final a cobros recurrentes con tarjeta tokenizada (membresías, paquetes de sesiones), ejecutar los cargos en la fecha programada, reintentar ante rechazo y notificar al cliente.</t>
  </si>
  <si>
    <t>Módulo de producto consumidor, Cliente final / titular de datos, Planificador de tareas</t>
  </si>
  <si>
    <t>plat.pago.recurrente</t>
  </si>
  <si>
    <t>El cliente aceptó el cobro recurrente y la tarjeta fue tokenizada en la pasarela.</t>
  </si>
  <si>
    <t>1. El producto crea el plan de cobro con monto, frecuencia y fecha de inicio.
2. El planificador ejecuta el cargo en la fecha con el token.
3. Si se rechaza, reintenta a los 1, 3 y 5 días y notifica al cliente.
4. Tras el último rechazo publica cobro_recurrente.fallido para que el producto suspenda el servicio.
5. El cliente puede cancelar desde el portal.</t>
  </si>
  <si>
    <t>token_tarjeta (texto de la pasarela); monto (decimal &gt; 0); frecuencia (MENSUAL|TRIMESTRAL|ANUAL); dia_cobro (1-28); fecha_inicio (fecha); estado (ACTIVO|PAUSADO|CANCELADO)</t>
  </si>
  <si>
    <t>TR-RN-023, TR-RN-030</t>
  </si>
  <si>
    <t>Cargos periódicos ejecutados o fallidos notificados</t>
  </si>
  <si>
    <t>TR-PAG, TR-NOT, TR-EVT, TR-POR</t>
  </si>
  <si>
    <t>TR-RNF-008, TR-RNF-007</t>
  </si>
  <si>
    <t>TR-RF-072</t>
  </si>
  <si>
    <t>Conciliar liquidaciones de la pasarela</t>
  </si>
  <si>
    <t>El sistema debe importar diariamente la liquidación de la pasarela (por API o archivo) y emparejar cada transacción con los pagos registrados, calculando comisiones y señalando partidas observadas.</t>
  </si>
  <si>
    <t>Encargado de facturación del cliente, Planificador de tareas</t>
  </si>
  <si>
    <t>plat.pago.conciliar</t>
  </si>
  <si>
    <t>La pasarela publica liquidaciones del día anterior.</t>
  </si>
  <si>
    <t>1. El planificador descarga la liquidación o el actor sube el archivo.
2. El sistema empareja por identificador de transacción y monto.
3. Calcula comisión esperada y la compara con la cobrada.
4. Marca CONCILIADO, OBSERVADO o NO_REGISTRADO y genera el resumen del día.</t>
  </si>
  <si>
    <t>fecha_liquidacion (fecha); transacciones[] (id, monto_bruto, comision, monto_neto); resultado (CONCILIADO|OBSERVADO|NO_REGISTRADO|PENDIENTE_LIQUIDAR)</t>
  </si>
  <si>
    <t>Conciliación diaria con diferencias identificadas</t>
  </si>
  <si>
    <t>TR-P05, TR-P13</t>
  </si>
  <si>
    <t>TR-PAG, TR-REP, TR-ARC</t>
  </si>
  <si>
    <t>TR-RNF-002, TR-RNF-125</t>
  </si>
  <si>
    <t>TR-RF-073</t>
  </si>
  <si>
    <t>Facturar y cobrar la suscripción del tenant</t>
  </si>
  <si>
    <t>El sistema debe generar mensualmente el cargo de cada tenant por sus suscripciones y consumos adicionales (consultas DNI/RUC, mensajes, almacenamiento), emitir el comprobante de la plataforma y cobrarlo por cobro recurrente o link de pago.</t>
  </si>
  <si>
    <t>Administrador de plataforma, Planificador de tareas</t>
  </si>
  <si>
    <t>plat.facturacion.gestionar</t>
  </si>
  <si>
    <t>El tenant tiene suscripciones activas con precio de plan.</t>
  </si>
  <si>
    <t>1. El planificador calcula el cargo del periodo por tenant: planes más consumos excedentes.
2. Emite la factura o boleta de la plataforma mediante TR-FE.
3. Ejecuta el cobro recurrente o envía el link de pago.
4. Ante falta de pago inicia el control de vencimiento de TR-ORG.</t>
  </si>
  <si>
    <t>periodo (AAAA-MM); conceptos[] (plan por producto, consultas excedentes, mensajes excedentes, GB adicionales); total (decimal); comprobante (serie-número); estado_cobro (PENDIENTE|PAGADO|VENCIDO)</t>
  </si>
  <si>
    <t>TR-RN-005, TR-RN-021</t>
  </si>
  <si>
    <t>Cargo del periodo facturado y cobrado o en seguimiento</t>
  </si>
  <si>
    <t>TR-PAG, TR-FE, TR-ORG, TR-NOT</t>
  </si>
  <si>
    <t>TR-RNF-104, TR-RNF-128</t>
  </si>
  <si>
    <t>TR-RF-074</t>
  </si>
  <si>
    <t>MOD-10 · Notificaciones (TR-NOT)</t>
  </si>
  <si>
    <t>Gestionar plantillas de notificación</t>
  </si>
  <si>
    <t>El sistema debe permitir gestionar plantillas por código, canal e idioma con variables tipadas y vista previa, con plantillas base de plataforma que el tenant puede personalizar sin perder la original.</t>
  </si>
  <si>
    <t>plat.notificacion.plantilla</t>
  </si>
  <si>
    <t>El código de plantilla está declarado por el producto o la plataforma.</t>
  </si>
  <si>
    <t>1. El actor elige la plantilla y el canal.
2. Edita asunto y cuerpo con variables {{nombre}}, {{fecha}}, {{sucursal}}.
3. El sistema valida que solo use variables declaradas y el límite del canal (SMS 160 caracteres).
4. Muestra la vista previa con datos de ejemplo y guarda la versión.</t>
  </si>
  <si>
    <t>codigo (texto, p. ej. CITA_RECORDATORIO); canal (CORREO|SMS|WHATSAPP|PUSH); asunto (texto 0-150); cuerpo (texto/HTML); variables[] (nombre, tipo); version (entero)</t>
  </si>
  <si>
    <t>Plantilla personalizada disponible para envíos</t>
  </si>
  <si>
    <t>TR-NOT</t>
  </si>
  <si>
    <t>TR-RF-075</t>
  </si>
  <si>
    <t>Enviar notificación transaccional</t>
  </si>
  <si>
    <t>El sistema debe proveer NotificacionPort.enviar(plantilla, destinatario, variables, canal preferido) que verifique preferencias y bajas, renderice la plantilla y la entregue al proveedor de mensajería mediante una cola persistente.</t>
  </si>
  <si>
    <t>plat.notificacion.enviar</t>
  </si>
  <si>
    <t>La plantilla existe para el canal.</t>
  </si>
  <si>
    <t>1. El módulo invoca el puerto con plantilla, persona o destinatario y variables.
2. El sistema verifica bajas y consentimiento para la finalidad (TR-RN-025).
3. Renderiza y encola el mensaje.
4. El worker lo entrega al proveedor y registra el identificador externo.</t>
  </si>
  <si>
    <t>plantilla (código); destinatario (persona_id o dirección); variables (JSON); canal (opcional; por defecto el preferido); finalidad (TRANSACCIONAL|PROMOCIONAL); clave_idempotencia (uuid)</t>
  </si>
  <si>
    <t>Mensaje encolado y entregado al proveedor</t>
  </si>
  <si>
    <t>TR-NOT, TR-PER</t>
  </si>
  <si>
    <t>TR-RNF-124, TR-RNF-008</t>
  </si>
  <si>
    <t>TR-RF-076</t>
  </si>
  <si>
    <t>Programar recordatorios</t>
  </si>
  <si>
    <t>El sistema debe permitir programar notificaciones para una fecha y hora futura (por ejemplo 24 horas antes de una cita), cancelarlas o reprogramarlas cuando cambie el evento de origen.</t>
  </si>
  <si>
    <t>Módulo de producto consumidor, Planificador de tareas</t>
  </si>
  <si>
    <t>plat.notificacion.programar</t>
  </si>
  <si>
    <t>La plantilla existe.</t>
  </si>
  <si>
    <t>1. El módulo programa el envío con fecha, plantilla y referencia.
2. El sistema crea un trabajo diferido en BullMQ.
3. Si el evento de origen cambia, el módulo reprograma o cancela por referencia.
4. A la hora indicada se ejecuta el envío transaccional.</t>
  </si>
  <si>
    <t>plantilla (código); destinatario; variables; enviar_en (fecha-hora futura); referencia_tipo, referencia_id (para cancelar o reprogramar)</t>
  </si>
  <si>
    <t>Recordatorio enviado en la fecha o cancelado</t>
  </si>
  <si>
    <t>TR-RNF-124, TR-RNF-005</t>
  </si>
  <si>
    <t>TR-RF-077</t>
  </si>
  <si>
    <t>Gestionar preferencias y bajas del destinatario</t>
  </si>
  <si>
    <t>El sistema debe permitir al destinatario elegir su canal preferido y darse de baja de comunicaciones promocionales por canal mediante enlace en cada mensaje o desde el portal, con efecto inmediato.</t>
  </si>
  <si>
    <t>publico.notificacion.preferencias</t>
  </si>
  <si>
    <t>El destinatario recibió un mensaje con enlace firmado o inició sesión en el portal.</t>
  </si>
  <si>
    <t>1. El destinatario abre el enlace de preferencias.
2. El sistema muestra canales y finalidades con su estado.
3. El destinatario cambia canal preferido o se da de baja.
4. El sistema registra el cambio, actualiza el consentimiento en TR-PER y confirma.</t>
  </si>
  <si>
    <t>persona_id (uuid); canal_preferido (CORREO|SMS|WHATSAPP); bajas[] (canal, finalidad); token (enlace firmado de 30 días)</t>
  </si>
  <si>
    <t>TR-RN-025, TR-RN-030</t>
  </si>
  <si>
    <t>Preferencias actualizadas y respetadas en el siguiente envío</t>
  </si>
  <si>
    <t>TR-P06, TR-P11</t>
  </si>
  <si>
    <t>TR-NOT, TR-PER, TR-POR</t>
  </si>
  <si>
    <t>TR-RF-078</t>
  </si>
  <si>
    <t>Enviar por WhatsApp con plantillas aprobadas</t>
  </si>
  <si>
    <t>El sistema debe gestionar el canal WhatsApp Business: registrar plantillas ante Meta con su estado de aprobación, usar mensajes libres solo dentro de la ventana de 24 horas y plantillas aprobadas fuera de ella.</t>
  </si>
  <si>
    <t>Módulo de producto consumidor, Proveedor de mensajería</t>
  </si>
  <si>
    <t>plat.notificacion.whatsapp</t>
  </si>
  <si>
    <t>El tenant tiene número de WhatsApp Business conectado.</t>
  </si>
  <si>
    <t>1. El administrador envía la plantilla a aprobación.
2. El sistema consulta y registra el estado (PENDIENTE, APROBADA, RECHAZADA).
3. Al enviar, verifica la última interacción del cliente.
4. Fuera de la ventana usa solo plantillas APROBADAS; si no existe, cambia al canal alterno.</t>
  </si>
  <si>
    <t>numero_whatsapp (E.164 +51); plantilla_meta (nombre, idioma es_PE, categoría UTILITY|MARKETING|AUTHENTICATION); estado_aprobacion; ultima_interaccion (fecha-hora)</t>
  </si>
  <si>
    <t>Mensajes WhatsApp conformes a la política del canal</t>
  </si>
  <si>
    <t>TR-RNF-121, TR-RNF-124</t>
  </si>
  <si>
    <t>TR-RF-079</t>
  </si>
  <si>
    <t>Registrar estado de entrega y conmutar canal</t>
  </si>
  <si>
    <t>El sistema debe registrar los estados de entrega informados por los proveedores (enviado, entregado, leído, fallido), reintentar ante fallos temporales y conmutar al canal alterno ante fallos definitivos.</t>
  </si>
  <si>
    <t>Proveedor de mensajería, Planificador de tareas</t>
  </si>
  <si>
    <t>publico.webhook.mensajeria</t>
  </si>
  <si>
    <t>El proveedor envía callbacks de estado.</t>
  </si>
  <si>
    <t>1. El proveedor notifica el estado por webhook firmado.
2. El sistema actualiza el mensaje por identificador externo.
3. Ante fallo temporal reintenta hasta 3 veces.
4. Ante fallo definitivo (número inexistente, rebote duro) envía por el canal alterno y marca el contacto como inválido.</t>
  </si>
  <si>
    <t>mensaje_id (uuid); id_externo (texto); estado (ENCOLADO|ENVIADO|ENTREGADO|LEIDO|FALLIDO); motivo_fallo (texto); canal_alterno (CORREO|SMS)</t>
  </si>
  <si>
    <t>Trazabilidad de entrega por mensaje</t>
  </si>
  <si>
    <t>TR-NOT, TR-PER, TR-OBS</t>
  </si>
  <si>
    <t>TR-RNF-124, TR-RNF-109</t>
  </si>
  <si>
    <t>TR-RF-080</t>
  </si>
  <si>
    <t>MOD-11 · Archivos (TR-ARC)</t>
  </si>
  <si>
    <t>Subir archivo validado</t>
  </si>
  <si>
    <t>El sistema debe permitir subir archivos asociados a una entidad de negocio validando tipo MIME, tamaño, hash SHA-256 y análisis antivirus, almacenándolos en Supabase Storage con ruta por tenant y quedando disponibles solo tras el análisis.</t>
  </si>
  <si>
    <t>plat.archivo.subir</t>
  </si>
  <si>
    <t>El producto define la categoría de archivo y el permiso de la entidad.</t>
  </si>
  <si>
    <t>1. El cliente solicita una URL firmada de carga indicando categoría, nombre y tamaño.
2. Sube el archivo directamente al almacenamiento.
3. El sistema calcula el hash, verifica el tipo real y lo envía al antivirus.
4. Si está limpio lo marca DISPONIBLE y publica archivo.disponible; si no, lo pone en cuarentena.</t>
  </si>
  <si>
    <t>categoria (IMAGEN|DOCUMENTO|CPE_XML|EVIDENCIA|ADJUNTO_SOPORTE); nombre_original (texto 1-255); tamano (bytes según TR-RN-027); mime (lista permitida); entidad_tipo, entidad_id; hash_sha256 (64 hex)</t>
  </si>
  <si>
    <t>TR-RN-027, TR-RN-001</t>
  </si>
  <si>
    <t>Archivo DISPONIBLE asociado a la entidad o en cuarentena</t>
  </si>
  <si>
    <t>TR-P11, TR-P07</t>
  </si>
  <si>
    <t>TR-ARC, TR-EVT</t>
  </si>
  <si>
    <t>TR-RNF-114, TR-RNF-011</t>
  </si>
  <si>
    <t>TR-RF-081</t>
  </si>
  <si>
    <t>Versionar archivo</t>
  </si>
  <si>
    <t>El sistema debe permitir cargar nuevas versiones de un archivo conservando las anteriores con su hash, autor y fecha, y consultar o restaurar una versión previa.</t>
  </si>
  <si>
    <t>plat.archivo.versionar</t>
  </si>
  <si>
    <t>El archivo existe y el actor tiene permiso de edición sobre la entidad.</t>
  </si>
  <si>
    <t>1. El actor sube una nueva versión del archivo.
2. El sistema valida igual que en la carga inicial.
3. Incrementa el número de versión y conserva las anteriores.
4. El actor puede listar versiones y marcar una anterior como vigente.</t>
  </si>
  <si>
    <t>archivo_id (uuid); version (entero); hash_sha256; subido_por (uuid); subido_en (fecha-hora); vigente (booleano)</t>
  </si>
  <si>
    <t>Historial de versiones íntegro</t>
  </si>
  <si>
    <t>TR-ARC, TR-AUD</t>
  </si>
  <si>
    <t>TR-RNF-114, TR-RNF-013</t>
  </si>
  <si>
    <t>TR-RF-082</t>
  </si>
  <si>
    <t>Descargar archivo con URL firmada</t>
  </si>
  <si>
    <t>El sistema debe entregar archivos mediante URL firmada de vigencia máxima 15 minutos solo a usuarios con permiso sobre la entidad asociada, registrando el acceso cuando el archivo es sensible.</t>
  </si>
  <si>
    <t>plat.archivo.descargar</t>
  </si>
  <si>
    <t>El archivo está DISPONIBLE.</t>
  </si>
  <si>
    <t>1. El cliente solicita la descarga del archivo.
2. El sistema verifica tenant, permiso de la entidad y estado.
3. Genera la URL firmada con expiración.
4. Si la categoría es sensible registra el acceso en TR-AUD.</t>
  </si>
  <si>
    <t>archivo_id (uuid); version (opcional); vigencia_segundos (≤ 900); disposicion (inline|attachment)</t>
  </si>
  <si>
    <t>TR-RN-027, TR-RN-028</t>
  </si>
  <si>
    <t>URL firmada temporal o 403</t>
  </si>
  <si>
    <t>TR-ARC, TR-SEG, TR-AUD</t>
  </si>
  <si>
    <t>TR-RNF-114, TR-RNF-010</t>
  </si>
  <si>
    <t>TR-RF-083</t>
  </si>
  <si>
    <t>Aplicar retención y bloqueo legal de archivos</t>
  </si>
  <si>
    <t>El sistema debe aplicar políticas de retención por categoría (por ejemplo XML y CDR de comprobantes durante el plazo tributario vigente) y permitir bloqueo legal que impida eliminar archivos aun vencida su retención.</t>
  </si>
  <si>
    <t>plat.archivo.retencion</t>
  </si>
  <si>
    <t>Existen políticas de retención por categoría.</t>
  </si>
  <si>
    <t>1. El administrador define la retención por categoría.
2. El planificador identifica archivos con retención vencida y sin bloqueo.
3. Los elimina del almacenamiento conservando el registro de metadatos y hash.
4. Un administrador puede aplicar o retirar el bloqueo legal con motivo.</t>
  </si>
  <si>
    <t>categoria (texto); retencion_anios (entero, p. ej. CPE_XML 5 — verificar plazo tributario vigente); bloqueo_legal (booleano); motivo_bloqueo (texto)</t>
  </si>
  <si>
    <t>TR-RN-028, TR-RN-047</t>
  </si>
  <si>
    <t>Archivos eliminados según política y bloqueados preservados</t>
  </si>
  <si>
    <t>TR-P11, TR-P04</t>
  </si>
  <si>
    <t>TR-RNF-011, TR-RNF-006</t>
  </si>
  <si>
    <t>TR-RF-084</t>
  </si>
  <si>
    <t>MOD-12 · Auditoría y datos personales (TR-AUD)</t>
  </si>
  <si>
    <t>Registrar evento de auditoría inmutable</t>
  </si>
  <si>
    <t>El sistema debe registrar las operaciones críticas de cualquier producto con tenant, usuario, sucursal, acción, entidad, valores antes y después, IP, trace_id y hash encadenado, en almacenamiento de solo inserción.</t>
  </si>
  <si>
    <t>plat.auditoria.registrar</t>
  </si>
  <si>
    <t>La operación está marcada con @Auditable o se invoca AuditoriaPort.</t>
  </si>
  <si>
    <t>1. El interceptor captura la operación al confirmarse la transacción.
2. Construye el registro con contexto y diferencias antes y después enmascarando campos sensibles.
3. Calcula el hash con el hash del registro anterior del tenant.
4. Inserta en aud.evento_auditoria.</t>
  </si>
  <si>
    <t>tenant_id; usuario_id; sucursal_id; accion (texto, p. ej. rest.venta.anular); entidad_tipo; entidad_id; antes (JSON); despues (JSON); ip; trace_id; hash_anterior; hash</t>
  </si>
  <si>
    <t>Registro de auditoría encadenado</t>
  </si>
  <si>
    <t>TR-AUD</t>
  </si>
  <si>
    <t>TR-RNF-013, TR-RNF-112</t>
  </si>
  <si>
    <t>TR-RF-085</t>
  </si>
  <si>
    <t>Registrar acceso a datos sensibles</t>
  </si>
  <si>
    <t>El sistema debe registrar cada lectura de datos sensibles (historia clínica, notas de sesión, expedientes reservados, datos portables) con usuario, finalidad, registro consultado y fecha.</t>
  </si>
  <si>
    <t>plat.auditoria.acceso_sensible</t>
  </si>
  <si>
    <t>El producto marca el recurso como sensible.</t>
  </si>
  <si>
    <t>1. El producto invoca registrarAccesoSensible al mostrar el recurso.
2. El sistema registra el acceso con finalidad declarada.
3. El registro queda disponible para el responsable de datos y para el titular cuando corresponda.</t>
  </si>
  <si>
    <t>usuario_id; persona_titular_id; recurso_tipo (HISTORIA_CLINICA|NOTA_SESION|EXPEDIENTE|DATOS_PORTABLES); recurso_id; finalidad (ATENCION|AUDITORIA_MEDICA|SOPORTE|OTRO); fecha</t>
  </si>
  <si>
    <t>TR-RN-028, TR-RN-011</t>
  </si>
  <si>
    <t>Acceso sensible trazable</t>
  </si>
  <si>
    <t>TR-RF-086</t>
  </si>
  <si>
    <t>Consultar y exportar auditoría</t>
  </si>
  <si>
    <t>El sistema debe permitir al administrador del cliente y al responsable de datos consultar la auditoría de su tenant con filtros por fecha, usuario, acción, entidad y sucursal, ver el detalle antes y después y exportar con registro de la exportación.</t>
  </si>
  <si>
    <t>plat.auditoria.consultar</t>
  </si>
  <si>
    <t>El actor tiene el permiso de auditoría con alcance tenant o empresa.</t>
  </si>
  <si>
    <t>1. El actor define filtros.
2. El sistema devuelve resultados paginados del alcance del actor.
3. El actor abre el detalle con las diferencias resaltadas.
4. Puede exportar a Excel con MFA; la exportación queda auditada.</t>
  </si>
  <si>
    <t>fecha_desde, fecha_hasta; usuario; accion; entidad_tipo; entidad_id; sucursal_id</t>
  </si>
  <si>
    <t>Consulta y exportación de auditoría del alcance permitido</t>
  </si>
  <si>
    <t>TR-AUD, TR-REP, TR-SEG</t>
  </si>
  <si>
    <t>TR-RF-087</t>
  </si>
  <si>
    <t>Verificar integridad de la auditoría</t>
  </si>
  <si>
    <t>El sistema debe verificar diariamente la cadena de hash de la auditoría de cada tenant e informar cualquier ruptura como incidente de seguridad.</t>
  </si>
  <si>
    <t>plat.auditoria.verificar</t>
  </si>
  <si>
    <t>Existen registros de auditoría.</t>
  </si>
  <si>
    <t>1. El planificador recorre los registros del día por tenant.
2. Recalcula los hash y compara con los almacenados.
3. Registra el resultado de la verificación.
4. Ante ruptura crea una alerta CRITICA y un incidente de seguridad.</t>
  </si>
  <si>
    <t>tenant_id; fecha; registros_verificados (entero); resultado (INTEGRO|ROTO); primer_registro_roto (id)</t>
  </si>
  <si>
    <t>TR-RN-028, TR-RN-048</t>
  </si>
  <si>
    <t>Constancia diaria de integridad o incidente abierto</t>
  </si>
  <si>
    <t>TR-P11, TR-P09</t>
  </si>
  <si>
    <t>TR-AUD, TR-OBS</t>
  </si>
  <si>
    <t>TR-RNF-112, TR-RNF-013</t>
  </si>
  <si>
    <t>TR-RF-088</t>
  </si>
  <si>
    <t>Registrar solicitud de derechos ARCO</t>
  </si>
  <si>
    <t>El sistema debe permitir al titular presentar solicitudes de acceso, rectificación, cancelación u oposición desde el portal del tenant, o al responsable registrarlas cuando llegan por otro canal, calculando el plazo de atención en días hábiles.</t>
  </si>
  <si>
    <t>Cliente final / titular de datos, Responsable de datos personales del cliente</t>
  </si>
  <si>
    <t>publico.arco.solicitar</t>
  </si>
  <si>
    <t>El titular se identificó en el portal o el responsable verificó su identidad.</t>
  </si>
  <si>
    <t>1. El titular elige el derecho, describe la solicitud y adjunta su documento.
2. El sistema registra la solicitud con número correlativo y fecha de recepción.
3. Calcula el vencimiento en días hábiles según TR-RN-029.
4. Notifica al responsable de datos y envía constancia al titular.</t>
  </si>
  <si>
    <t>derecho (ACCESO|RECTIFICACION|CANCELACION|OPOSICION); descripcion (texto 10-2000); documento_identidad (archivo); canal (PORTAL|PRESENCIAL|CORREO); fecha_recepcion; vence_en</t>
  </si>
  <si>
    <t>TR-RN-029, TR-RN-030</t>
  </si>
  <si>
    <t>Solicitud registrada con plazo y constancia</t>
  </si>
  <si>
    <t>TR-AUD, TR-POR, TR-SEQ, TR-CAT, TR-NOT, TR-ARC</t>
  </si>
  <si>
    <t>TR-RNF-116, TR-RNF-016</t>
  </si>
  <si>
    <t>TR-RF-089</t>
  </si>
  <si>
    <t>Atender solicitud ARCO</t>
  </si>
  <si>
    <t>El sistema debe permitir al responsable de datos compilar los datos del titular en todos los productos del tenant, registrar la decisión fundamentada y responder dentro del plazo, con alertas al 50 % y 80 % del plazo.</t>
  </si>
  <si>
    <t>plat.arco.atender</t>
  </si>
  <si>
    <t>Existe una solicitud registrada.</t>
  </si>
  <si>
    <t>1. El sistema publica arco.solicitado y cada producto aporta los datos del titular.
2. El responsable revisa el compilado y registra la decisión (PROCEDE, PROCEDE_PARCIAL, IMPROCEDENTE) con fundamento.
3. Ejecuta la rectificación u oposición en los productos mediante eventos.
4. Envía la respuesta al titular y cierra la solicitud.</t>
  </si>
  <si>
    <t>solicitud_id; datos_compilados (archivo PDF/JSON); decision; fundamento (texto 20-2000); prorroga (booleano, una vez, con justificación); respondida_en</t>
  </si>
  <si>
    <t>Solicitud respondida en plazo con evidencia</t>
  </si>
  <si>
    <t>TR-AUD, TR-EVT, TR-NOT, TR-ARC</t>
  </si>
  <si>
    <t>TR-RF-090</t>
  </si>
  <si>
    <t>Ejecutar cancelación y anonimización</t>
  </si>
  <si>
    <t>El sistema debe ejecutar la cancelación de datos del titular anonimizando su información en todos los productos, salvo los datos con obligación legal de conservación (comprobantes, historia clínica), que se bloquean para uso distinto al legal.</t>
  </si>
  <si>
    <t>plat.arco.cancelar</t>
  </si>
  <si>
    <t>La solicitud de cancelación fue declarada procedente.</t>
  </si>
  <si>
    <t>1. El responsable confirma la cancelación con MFA.
2. El sistema publica persona.cancelacion_aprobada.
3. Cada producto anonimiza los datos sin obligación de conservación y bloquea los demás.
4. El sistema consolida la confirmación de cada producto y registra la evidencia.</t>
  </si>
  <si>
    <t>persona_id; productos_confirmados[] (código, resultado ANONIMIZADO|BLOQUEADO_LEGAL); fecha_ejecucion</t>
  </si>
  <si>
    <t>TR-RN-029, TR-RN-030, TR-RN-028</t>
  </si>
  <si>
    <t>Datos anonimizados o bloqueados con evidencia por producto</t>
  </si>
  <si>
    <t>TR-AUD, TR-PER, TR-EVT, TR-SEG</t>
  </si>
  <si>
    <t>TR-RNF-016, TR-RNF-021</t>
  </si>
  <si>
    <t>TR-RF-091</t>
  </si>
  <si>
    <t>Registrar y notificar incidente de seguridad de datos</t>
  </si>
  <si>
    <t>El sistema debe permitir registrar incidentes de seguridad que afecten datos personales con alcance, titulares y datos afectados, controlar el plazo de 48 horas para notificar a la ANPD y generar las comunicaciones a los titulares.</t>
  </si>
  <si>
    <t>Administrador de plataforma, Responsable de datos personales del cliente</t>
  </si>
  <si>
    <t>plat.incidente.gestionar</t>
  </si>
  <si>
    <t>Se detectó o reportó un incidente.</t>
  </si>
  <si>
    <t>1. El actor registra el incidente con fecha de conocimiento, descripción, tenants y categorías de datos afectados.
2. El sistema calcula el vencimiento de 48 horas y alerta a los responsables.
3. El actor registra medidas y genera el informe para la ANPD.
4. Opcionalmente envía la comunicación a los titulares afectados mediante TR-NOT.</t>
  </si>
  <si>
    <t>fecha_conocimiento (fecha-hora); descripcion (texto); tenants_afectados[]; categorias_datos[]; titulares_estimados (entero); medidas (texto); notificado_anpd_en (fecha-hora)</t>
  </si>
  <si>
    <t>Incidente notificado en plazo con evidencia</t>
  </si>
  <si>
    <t>TR-AUD, TR-NOT, TR-ARC</t>
  </si>
  <si>
    <t>TR-RF-092</t>
  </si>
  <si>
    <t>MOD-13 · Eventos de dominio (TR-EVT)</t>
  </si>
  <si>
    <t>Publicar evento de dominio en el outbox</t>
  </si>
  <si>
    <t>El sistema debe proveer EventoPort.publicar(evento) que inserte el evento en el outbox dentro de la misma transacción del cambio de negocio, con event_id único, tipo, agregado, versión, origen, payload y schema_version.</t>
  </si>
  <si>
    <t>plat.evento.publicar</t>
  </si>
  <si>
    <t>El módulo ejecuta un caso de uso dentro de una transacción.</t>
  </si>
  <si>
    <t>1. El caso de uso modifica el agregado e invoca publicar.
2. El sistema valida el payload contra el esquema registrado del tipo de evento.
3. Inserta la fila en el outbox con el tenant y la sucursal del contexto.
4. Al confirmar la transacción, el evento queda visible para el despachador; si se revierte, no existe.</t>
  </si>
  <si>
    <t>event_id (uuid); tenant_id; sede_id (sucursal, opcional); aggregate_type (texto 1-40); aggregate_id (uuid); event_type (texto 1-60, p. ej. ticket.atendido); version (bigint); origin (CLOUD|EDGE); payload (JSON); schema_version (smallint)</t>
  </si>
  <si>
    <t>Evento persistido atómicamente con el cambio de negocio</t>
  </si>
  <si>
    <t>TR-EVT</t>
  </si>
  <si>
    <t>TR-RNF-106, TR-RNF-117</t>
  </si>
  <si>
    <t>TR-RF-093</t>
  </si>
  <si>
    <t>Despachar eventos a suscriptores internos</t>
  </si>
  <si>
    <t>El sistema debe leer el outbox por cursor con margen de seguridad y entregar cada evento a los consumidores suscritos mediante colas BullMQ, garantizando entrega al menos una vez e idempotencia por event_id en cada consumidor.</t>
  </si>
  <si>
    <t>Planificador de tareas, Módulo de producto consumidor</t>
  </si>
  <si>
    <t>Existen suscripciones registradas para el tipo de evento.</t>
  </si>
  <si>
    <t>1. El despachador lee eventos con sync.read_events respetando el margen de TR-RN-035.
2. Encola el evento para cada consumidor suscrito.
3. El consumidor verifica si ya procesó el event_id; si no, lo procesa y registra.
4. El despachador avanza el cursor tras encolar.</t>
  </si>
  <si>
    <t>cursor (bigint); margen_segundos (parámetro, por defecto 5); consumidor (texto); event_id; intentos (entero); estado (PROCESADO|REINTENTANDO|FALLIDO)</t>
  </si>
  <si>
    <t>TR-RN-034, TR-RN-035</t>
  </si>
  <si>
    <t>Eventos entregados a todos los consumidores</t>
  </si>
  <si>
    <t>TR-P12, TR-P09</t>
  </si>
  <si>
    <t>TR-EVT, TR-OBS</t>
  </si>
  <si>
    <t>TR-RNF-106, TR-RNF-028</t>
  </si>
  <si>
    <t>TR-RF-094</t>
  </si>
  <si>
    <t>Mantener catálogo de eventos y suscripciones</t>
  </si>
  <si>
    <t>El sistema debe mantener el registro de tipos de evento con su esquema JSON versionado, productor y consumidores suscritos, y validar la compatibilidad hacia atrás al registrar una nueva versión de esquema.</t>
  </si>
  <si>
    <t>plat.evento.catalogo</t>
  </si>
  <si>
    <t>El manifiesto del producto declara eventos publicados y suscripciones.</t>
  </si>
  <si>
    <t>1. El manifiesto registra tipos de evento y esquemas.
2. El sistema compara la nueva versión con las 2 anteriores.
3. Si rompe compatibilidad (campo obligatorio eliminado o tipo cambiado), rechaza el registro.
4. La consola muestra el catálogo con productores y consumidores.</t>
  </si>
  <si>
    <t>event_type (texto); schema_version (smallint); esquema (JSON Schema); productor (producto); consumidores[] (módulo)</t>
  </si>
  <si>
    <t>Catálogo de eventos versionado y compatible</t>
  </si>
  <si>
    <t>TR-EVT, TR-SEG</t>
  </si>
  <si>
    <t>TR-RNF-117, TR-RNF-120</t>
  </si>
  <si>
    <t>TR-RF-095</t>
  </si>
  <si>
    <t>Reprocesar eventos fallidos</t>
  </si>
  <si>
    <t>El sistema debe enviar a una cola de eventos fallidos los eventos que agotaron reintentos, mostrarlos en la consola con el error y permitir reprocesarlos individualmente o en lote tras corregir la causa.</t>
  </si>
  <si>
    <t>Administrador de plataforma, Agente de soporte (N1/N2)</t>
  </si>
  <si>
    <t>plat.evento.reprocesar</t>
  </si>
  <si>
    <t>Existen eventos en estado FALLIDO.</t>
  </si>
  <si>
    <t>1. El consumidor agota los reintentos configurados (por defecto 8).
2. El sistema mueve el evento a la cola de fallidos con el último error.
3. El actor filtra por consumidor, tipo y tenant y revisa el error.
4. Reprocesa uno o varios; el resultado se registra.</t>
  </si>
  <si>
    <t>consumidor; event_type; tenant_id; error (texto); intentos (entero); reprocesado_por (uuid); reprocesado_en</t>
  </si>
  <si>
    <t>Eventos fallidos visibles y reprocesados</t>
  </si>
  <si>
    <t>TR-EVT, TR-OBS, TR-AUD</t>
  </si>
  <si>
    <t>TR-RNF-106, TR-RNF-026</t>
  </si>
  <si>
    <t>TR-RF-096</t>
  </si>
  <si>
    <t>MOD-14 · Reportes y tableros (TR-REP)</t>
  </si>
  <si>
    <t>Registrar definiciones de reportes</t>
  </si>
  <si>
    <t>El sistema debe registrar desde el manifiesto los reportes de cada producto con código, consulta parametrizada de solo lectura, filtros, columnas, permiso requerido, indicador de datos personales y formatos de exportación.</t>
  </si>
  <si>
    <t>plat.reporte.definir</t>
  </si>
  <si>
    <t>1. El manifiesto declara los reportes.
2. El sistema valida que la consulta sea de solo lectura y use los parámetros obligatorios de tenant y alcance.
3. Registra o actualiza la definición.</t>
  </si>
  <si>
    <t>codigo (texto, p. ej. rest.ventas_por_plato); nombre; consulta (SQL parametrizado de solo lectura o vista); filtros[] (nombre, tipo, obligatorio); columnas[]; permiso (código); datos_personales (booleano); formatos[] (XLSX|PDF|CSV)</t>
  </si>
  <si>
    <t>TR-RN-007, TR-RN-047</t>
  </si>
  <si>
    <t>Reporte disponible para usuarios con el permiso</t>
  </si>
  <si>
    <t>TR-REP, TR-SEG</t>
  </si>
  <si>
    <t>TR-RNF-120, TR-RNF-010</t>
  </si>
  <si>
    <t>TR-RF-097</t>
  </si>
  <si>
    <t>Ejecutar y exportar reporte</t>
  </si>
  <si>
    <t>El sistema debe permitir ejecutar un reporte con filtros, ver el resultado paginado y exportarlo a Excel, PDF o CSV, aplicando el alcance del usuario y ejecutando en segundo plano cuando supere 10 000 filas.</t>
  </si>
  <si>
    <t>Administrador del cliente, Usuario operativo del producto, Encargado de facturación del cliente</t>
  </si>
  <si>
    <t>plat.reporte.ejecutar (más el permiso declarado por el reporte)</t>
  </si>
  <si>
    <t>El usuario tiene el permiso del reporte.</t>
  </si>
  <si>
    <t>1. El usuario elige el reporte y completa los filtros.
2. El sistema añade los filtros de alcance del usuario.
3. Si el resultado estimado es ≤ 10 000 filas lo muestra; si es mayor, lo ejecuta en segundo plano y avisa al terminar.
4. El usuario exporta; si contiene datos personales se exige el permiso de exportación y se audita.</t>
  </si>
  <si>
    <t>reporte (código); filtros (JSON); formato (XLSX|PDF|CSV); alcance (calculado); archivo_resultado (expira a las 72 h)</t>
  </si>
  <si>
    <t>Resultado en pantalla o archivo descargable</t>
  </si>
  <si>
    <t>TR-REP, TR-SEG, TR-ARC, TR-AUD, TR-NOT</t>
  </si>
  <si>
    <t>TR-RNF-125, TR-RNF-002</t>
  </si>
  <si>
    <t>TR-RF-098</t>
  </si>
  <si>
    <t>Programar envío de reportes</t>
  </si>
  <si>
    <t>El sistema debe permitir programar la ejecución periódica de un reporte con filtros relativos (ayer, semana pasada, mes anterior) y su envío por correo a usuarios del tenant con el permiso correspondiente.</t>
  </si>
  <si>
    <t>plat.reporte.programar</t>
  </si>
  <si>
    <t>El usuario tiene permiso del reporte y los destinatarios también.</t>
  </si>
  <si>
    <t>1. El usuario define reporte, filtros relativos, frecuencia, hora y destinatarios.
2. El sistema valida que cada destinatario tenga el permiso.
3. El planificador ejecuta a la hora indicada y envía el archivo o el enlace.
4. El historial muestra cada ejecución.</t>
  </si>
  <si>
    <t>reporte (código); filtros_relativos (JSON); frecuencia (DIARIA|SEMANAL|MENSUAL); hora (HH:MM, America/Lima); destinatarios[] (usuarios); formato</t>
  </si>
  <si>
    <t>Reporte enviado periódicamente</t>
  </si>
  <si>
    <t>TR-P13, TR-P06</t>
  </si>
  <si>
    <t>TR-REP, TR-NOT</t>
  </si>
  <si>
    <t>TR-RNF-125, TR-RNF-124</t>
  </si>
  <si>
    <t>TR-RF-099</t>
  </si>
  <si>
    <t>Configurar tableros por rol</t>
  </si>
  <si>
    <t>El sistema debe mostrar tableros con indicadores, gráficos y tablas declarados por los productos, filtrados por el alcance del usuario, y permitir al administrador asignar tableros por rol.</t>
  </si>
  <si>
    <t>plat.tablero.ver</t>
  </si>
  <si>
    <t>El producto declaró tableros y widgets en su manifiesto.</t>
  </si>
  <si>
    <t>1. El administrador asigna tableros a roles.
2. El usuario abre su tablero al ingresar.
3. El sistema calcula los widgets con los filtros de alcance y periodo.
4. El usuario cambia el periodo o la sucursal dentro de su alcance.</t>
  </si>
  <si>
    <t>tablero (código); widgets[] (tipo KPI|LINEA|BARRA|TABLA, consulta, permiso); periodo (HOY|7D|30D|MES); sucursal (dentro del alcance)</t>
  </si>
  <si>
    <t>Tablero con datos del alcance del usuario</t>
  </si>
  <si>
    <t>TR-REP, TR-SEG, TR-OBS</t>
  </si>
  <si>
    <t>TR-RNF-002, TR-RNF-020</t>
  </si>
  <si>
    <t>TR-RF-100</t>
  </si>
  <si>
    <t>MOD-15 · Servicios de IA (TR-IA)</t>
  </si>
  <si>
    <t>Enrutar solicitudes por la pasarela de modelos</t>
  </si>
  <si>
    <t>El sistema debe centralizar todas las llamadas a modelos de IA en una pasarela que seleccione el proveedor y modelo por caso de uso, aplique la plantilla de instrucciones versionada, reintente y use un modelo de respaldo ante falla.</t>
  </si>
  <si>
    <t>Módulo de producto consumidor, Proveedor de modelos de IA</t>
  </si>
  <si>
    <t>plat.ia.invocar</t>
  </si>
  <si>
    <t>El caso de uso está registrado con su plantilla y modelo.</t>
  </si>
  <si>
    <t>1. El módulo invoca IaPort con el código del caso de uso y los datos.
2. La pasarela aplica enmascaramiento, arma la instrucción con la plantilla vigente y elige el modelo.
3. Llama al proveedor con timeout; ante error usa el modelo de respaldo.
4. Registra tokens, costo, latencia y versión de plantilla, y devuelve la respuesta.</t>
  </si>
  <si>
    <t>caso_uso (texto, p. ej. doc.clasificar_documento); entrada (JSON); modelo_principal; modelo_respaldo; plantilla_version (entero); tokens_entrada, tokens_salida (entero); costo_usd (decimal); latencia_ms</t>
  </si>
  <si>
    <t>Respuesta del modelo trazable por caso de uso</t>
  </si>
  <si>
    <t>TR-P13, TR-P12</t>
  </si>
  <si>
    <t>TR-IA, TR-OBS</t>
  </si>
  <si>
    <t>TR-RNF-121, TR-RNF-007, TR-RNF-115</t>
  </si>
  <si>
    <t>Sí</t>
  </si>
  <si>
    <t>TR-RF-101</t>
  </si>
  <si>
    <t>Enmascarar datos personales en solicitudes de IA</t>
  </si>
  <si>
    <t>El sistema debe detectar y reemplazar por marcadores los datos personales (DNI, RUC de persona natural, nombres, teléfonos, correos, direcciones) antes de enviar texto al proveedor, y restituirlos en la respuesta solo cuando el caso de uso lo requiera.</t>
  </si>
  <si>
    <t>La solicitud pasa por la pasarela de modelos.</t>
  </si>
  <si>
    <t>1. La pasarela analiza el texto con reglas y reconocimiento de entidades.
2. Reemplaza cada dato por un marcador [DNI_1], [NOMBRE_1].
3. Envía el texto enmascarado al proveedor.
4. Restituye los valores en la respuesta si el caso de uso lo indica y registra el prompt enmascarado.</t>
  </si>
  <si>
    <t>texto_original (no se almacena); texto_enmascarado; mapa_marcadores (en memoria, no persistido); entidades_detectadas (conteo por tipo)</t>
  </si>
  <si>
    <t>TR-RN-041, TR-RN-032</t>
  </si>
  <si>
    <t>Ningún dato personal identificable enviado al proveedor</t>
  </si>
  <si>
    <t>TR-P11, TR-P13</t>
  </si>
  <si>
    <t>TR-IA, TR-AUD</t>
  </si>
  <si>
    <t>TR-RNF-115, TR-RNF-016</t>
  </si>
  <si>
    <t>TR-RF-102</t>
  </si>
  <si>
    <t>Extraer datos de documentos con revisión humana</t>
  </si>
  <si>
    <t>El sistema debe extraer datos estructurados de documentos (facturas de proveedores, listas escolares, DNI, escritos de mesa de partes) mediante OCR y modelo de lenguaje, devolviendo cada campo con su confianza para revisión y confirmación humana.</t>
  </si>
  <si>
    <t>Módulo de producto consumidor, Usuario operativo del producto, Proveedor de modelos de IA</t>
  </si>
  <si>
    <t>plat.ia.extraer</t>
  </si>
  <si>
    <t>El archivo está DISPONIBLE en TR-ARC y el caso de uso define el esquema de salida.</t>
  </si>
  <si>
    <t>1. El módulo solicita la extracción con el archivo y el esquema.
2. El sistema aplica OCR, enmascara y solicita al modelo el JSON del esquema.
3. Valida el JSON contra el esquema y calcula la confianza por campo.
4. El usuario revisa los campos resaltados con confianza &lt; 0,8 y confirma antes de registrar.</t>
  </si>
  <si>
    <t>archivo_id (uuid); esquema (JSON Schema); resultado (JSON); confianza_por_campo (0-1); confirmado_por (uuid); confirmado_en</t>
  </si>
  <si>
    <t>TR-RN-041, TR-RN-027</t>
  </si>
  <si>
    <t>Datos estructurados confirmados por una persona</t>
  </si>
  <si>
    <t>TR-P13, TR-P10</t>
  </si>
  <si>
    <t>TR-IA, TR-ARC</t>
  </si>
  <si>
    <t>TR-RNF-115, TR-RNF-030</t>
  </si>
  <si>
    <t>TR-RF-103</t>
  </si>
  <si>
    <t>Indexar documentos y responder con citas (RAG)</t>
  </si>
  <si>
    <t>El sistema debe permitir al cliente indexar sus documentos (TUPA, reglamentos, carta, preguntas frecuentes) en vectores aislados por tenant y responder preguntas citando el fragmento fuente, declarando que no sabe cuando no hay sustento.</t>
  </si>
  <si>
    <t>Administrador del cliente, Cliente final / titular de datos, Módulo de producto consumidor</t>
  </si>
  <si>
    <t>plat.ia.conocimiento</t>
  </si>
  <si>
    <t>El tenant tiene el servicio de IA habilitado en su plan.</t>
  </si>
  <si>
    <t>1. El administrador sube documentos a la base de conocimiento.
2. El indexador extrae texto, divide en fragmentos y calcula embeddings con tenant_id.
3. Ante una pregunta, el sistema busca fragmentos del tenant por similitud.
4. Si la similitud supera el umbral, el modelo responde citando la fuente; si no, responde que no tiene la información y ofrece derivar.</t>
  </si>
  <si>
    <t>documento_id; fragmentos (texto, embedding vector(1024), tenant_id, pagina); pregunta (texto 3-500); umbral_similitud (parámetro, por defecto 0,75); respuesta; citas[] (documento, página)</t>
  </si>
  <si>
    <t>TR-RN-041, TR-RN-001</t>
  </si>
  <si>
    <t>Respuesta con citas o declaración de falta de información</t>
  </si>
  <si>
    <t>TR-P07, TR-P13</t>
  </si>
  <si>
    <t>TR-IA, TR-ARC, TR-CFG</t>
  </si>
  <si>
    <t>TR-RNF-115, TR-RNF-010</t>
  </si>
  <si>
    <t>TR-RF-104</t>
  </si>
  <si>
    <t>Medir consumo de IA y aplicar límites por tenant</t>
  </si>
  <si>
    <t>El sistema debe acumular el consumo de IA por tenant, producto y caso de uso (solicitudes, tokens, costo), mostrarlo en la consola y en la administración del cliente, avisar al 80 % del límite mensual y aplicar corte o modo degradado al 100 %.</t>
  </si>
  <si>
    <t>plat.ia.consumo</t>
  </si>
  <si>
    <t>El plan define el límite mensual de IA.</t>
  </si>
  <si>
    <t>1. La pasarela registra cada invocación con su costo.
2. El sistema acumula por periodo y tenant.
3. Al 80 % notifica al administrador del cliente.
4. Al 100 % aplica la política configurada: corte de casos no esenciales o continuidad con cargo excedente.</t>
  </si>
  <si>
    <t>tenant_id; periodo (AAAA-MM); limite_usd (decimal); consumido_usd (decimal); politica_exceso (CORTE|EXCEDENTE); por_caso_uso[]</t>
  </si>
  <si>
    <t>Consumo visible y controlado</t>
  </si>
  <si>
    <t>TR-P13, TR-P01</t>
  </si>
  <si>
    <t>TR-IA, TR-NOT, TR-ORG</t>
  </si>
  <si>
    <t>TR-RNF-128, TR-RNF-026</t>
  </si>
  <si>
    <t>TR-RF-105</t>
  </si>
  <si>
    <t>Orquestar agente conversacional con confirmación</t>
  </si>
  <si>
    <t>El sistema debe proveer un orquestador de agentes para WhatsApp y chat web que interprete mensajes, ejecute herramientas (APIs de la plataforma y del producto) con los permisos del contexto y pida confirmación explícita antes de cualquier acción con efecto económico, derivando a una persona cuando no entienda.</t>
  </si>
  <si>
    <t>Cliente final / titular de datos, Módulo de producto consumidor, Proveedor de mensajería, Proveedor de modelos de IA</t>
  </si>
  <si>
    <t>plat.ia.agente</t>
  </si>
  <si>
    <t>El tenant configuró el agente con sus herramientas habilitadas y el canal conectado.</t>
  </si>
  <si>
    <t>1. El canal entrega el mensaje con tenant y cliente identificados.
2. El orquestador envía al modelo la instrucción, el historial y las herramientas disponibles.
3. Ejecuta las herramientas solicitadas mediante las APIs con sus reglas de negocio.
4. Antes de crear pedidos, citas o cobros muestra el resumen y espera la confirmación del cliente.
5. Si no comprende tras 2 intentos o el cliente lo pide, deriva a una persona.</t>
  </si>
  <si>
    <t>canal (WHATSAPP|CHAT_WEB|KIOSCO); conversacion_id; herramientas[] (nombre, permiso, requiere_confirmacion); historial (últimos 20 mensajes); estado (ACTIVA|DERIVADA|CERRADA)</t>
  </si>
  <si>
    <t>TR-RN-041, TR-RN-026</t>
  </si>
  <si>
    <t>Conversación resuelta con acciones confirmadas o derivada</t>
  </si>
  <si>
    <t>TR-P06, TR-P13</t>
  </si>
  <si>
    <t>TR-IA, TR-NOT, TR-PAG, TR-AUD</t>
  </si>
  <si>
    <t>TR-RNF-115, TR-RNF-030, TR-RNF-007</t>
  </si>
  <si>
    <t>TR-RF-106</t>
  </si>
  <si>
    <t>MOD-16 · Observabilidad (TR-OBS)</t>
  </si>
  <si>
    <t>Registrar indicadores de negocio por minuto</t>
  </si>
  <si>
    <t>El sistema debe alimentar los indicadores declarados por los productos a partir de los eventos de dominio, registrando por minuto la suma, conteo y máximo por tenant, empresa y sucursal de forma idempotente, sin datos personales.</t>
  </si>
  <si>
    <t>El indicador está declarado con su evento de origen.</t>
  </si>
  <si>
    <t>1. El consumidor de eventos recibe el evento de origen.
2. Extrae tenant, empresa, sucursal, momento y valor.
3. Invoca obs.registrar que acumula en el minuto correspondiente.
4. Las series se conservan 13 meses particionadas por mes.</t>
  </si>
  <si>
    <t>indicador (texto, p. ej. rest.pedidos); minuto (fecha-hora truncada); suma (numérico); conteo (entero); maximo (numérico)</t>
  </si>
  <si>
    <t>Serie por minuto disponible para alertas y tableros</t>
  </si>
  <si>
    <t>TR-OBS, TR-EVT</t>
  </si>
  <si>
    <t>TR-RNF-126, TR-RNF-106</t>
  </si>
  <si>
    <t>TR-RF-107</t>
  </si>
  <si>
    <t>Configurar reglas de alerta</t>
  </si>
  <si>
    <t>El sistema debe permitir definir reglas de alerta de plataforma (para todos los tenants con el producto) o propias de un tenant, con indicador, condición (umbral mayor, umbral menor, sin datos, caída porcentual), umbral, ventana, base mínima, severidad y si crean ticket.</t>
  </si>
  <si>
    <t>plat.alerta.regla</t>
  </si>
  <si>
    <t>El indicador existe.</t>
  </si>
  <si>
    <t>1. El actor elige el indicador y la condición.
2. Define umbral, ventana en minutos, base mínima y severidad.
3. Indica si la regla crea ticket automático.
4. El sistema valida la regla y la activa.</t>
  </si>
  <si>
    <t>indicador; nombre (texto 3-150); condicion (UMBRAL_MAYOR|UMBRAL_MENOR|SIN_DATOS|CAIDA_PCT); umbral (numérico, obligatorio salvo SIN_DATOS); ventana_min (1-1440); base_minima (numérico ≥ 0); severidad (CRITICA|ALTA|MEDIA|BAJA); crea_ticket (booleano); tenant_id (nulo = plataforma)</t>
  </si>
  <si>
    <t>Regla activa evaluada cada minuto</t>
  </si>
  <si>
    <t>TR-OBS</t>
  </si>
  <si>
    <t>TR-RNF-127, TR-RNF-027</t>
  </si>
  <si>
    <t>TR-RF-108</t>
  </si>
  <si>
    <t>Evaluar reglas y gestionar alertas</t>
  </si>
  <si>
    <t>El sistema debe evaluar cada minuto las reglas activas por sucursal, abrir una alerta cuando se cumpla la condición (sin duplicar alertas abiertas), resolverla automáticamente cuando deje de cumplirse, notificar y crear ticket si la regla lo indica.</t>
  </si>
  <si>
    <t>Existen reglas activas.</t>
  </si>
  <si>
    <t>1. El planificador ejecuta obs.evaluar_reglas cada minuto.
2. Para cada regla y sucursal calcula el valor de la ventana y, si aplica, la línea base.
3. Abre la alerta con valor, referencia y detalle si se cumple y no hay otra abierta.
4. Resuelve las alertas que dejaron de cumplirse.
5. Notifica por severidad y crea ticket mediante sop.crear_desde_alerta si corresponde.</t>
  </si>
  <si>
    <t>regla_id; sucursal_id; valor; referencia (umbral o línea base); estado (ABIERTA|RECONOCIDA|RESUELTA); abierta_en; resuelta_en</t>
  </si>
  <si>
    <t>Alertas abiertas y resueltas oportunamente sin duplicados</t>
  </si>
  <si>
    <t>TR-P09, TR-P08</t>
  </si>
  <si>
    <t>TR-OBS, TR-SOP, TR-NOT</t>
  </si>
  <si>
    <t>TR-RNF-127, TR-RNF-005</t>
  </si>
  <si>
    <t>TR-RF-109</t>
  </si>
  <si>
    <t>Ver salud por tenant y sucursal</t>
  </si>
  <si>
    <t>El sistema debe mostrar en la consola un tablero de salud por tenant y sucursal con alertas abiertas por severidad, actividad del último periodo, último evento recibido y estado del agente local, con acceso al detalle.</t>
  </si>
  <si>
    <t>plat.salud.ver</t>
  </si>
  <si>
    <t>Existen métricas y alertas.</t>
  </si>
  <si>
    <t>1. El actor abre el tablero de salud.
2. El sistema consulta obs.v_salud_sucursal y el estado de agentes.
3. Muestra semáforo por tenant y sucursal.
4. El actor abre una sucursal y ve sus indicadores, alertas y tickets.</t>
  </si>
  <si>
    <t>tenant; sucursal; alertas_criticas, alertas_altas (entero); ultimo_evento (fecha-hora); agente_edge (EN_LINEA|SIN_CONEXION|NO_APLICA); semaforo (VERDE|AMARILLO|ROJO)</t>
  </si>
  <si>
    <t>Visión consolidada del estado de los clientes</t>
  </si>
  <si>
    <t>TR-OBS, TR-EDGE, TR-SOP</t>
  </si>
  <si>
    <t>TR-RNF-002, TR-RNF-126</t>
  </si>
  <si>
    <t>TR-RF-110</t>
  </si>
  <si>
    <t>Reconocer alerta y ver alertas del tenant</t>
  </si>
  <si>
    <t>El sistema debe permitir al administrador del cliente ver las alertas de su tenant y al equipo de plataforma reconocerlas con comentario, deteniendo la repetición de notificaciones.</t>
  </si>
  <si>
    <t>plat.alerta.reconocer</t>
  </si>
  <si>
    <t>Existe una alerta ABIERTA.</t>
  </si>
  <si>
    <t>1. El actor abre la lista de alertas filtrada por estado y severidad.
2. Selecciona una alerta y la reconoce con comentario.
3. El sistema cambia el estado a RECONOCIDA y suspende las notificaciones repetidas.
4. La alerta se resuelve automáticamente al normalizarse.</t>
  </si>
  <si>
    <t>alerta_id; comentario (texto 3-500); reconocida_por (uuid); reconocida_en</t>
  </si>
  <si>
    <t>Alerta reconocida y trazable</t>
  </si>
  <si>
    <t>TR-OBS, TR-NOT</t>
  </si>
  <si>
    <t>TR-RNF-127, TR-RNF-020</t>
  </si>
  <si>
    <t>TR-RF-111</t>
  </si>
  <si>
    <t>MOD-17 · Centro de soporte (TR-SOP)</t>
  </si>
  <si>
    <t>Crear ticket desde el widget con contexto</t>
  </si>
  <si>
    <t>El sistema debe permitir a cualquier usuario de un producto crear un ticket desde el widget de soporte, adjuntando automáticamente contexto técnico (producto, módulo, versión, ruta, navegador, trace_id, errores recientes) sin datos personales, y calcular prioridad y plazos según su plan.</t>
  </si>
  <si>
    <t>Usuario operativo del producto, Administrador del cliente</t>
  </si>
  <si>
    <t>plat.soporte.crear_ticket</t>
  </si>
  <si>
    <t>El usuario tiene sesión en un producto.</t>
  </si>
  <si>
    <t>1. El usuario abre el widget, elige tipo e indica título, descripción, impacto y urgencia.
2. El widget sugiere artículos de la base de conocimiento relacionados.
3. El sistema captura el contexto técnico y elimina claves prohibidas.
4. Invoca sop.crear_ticket que toma el plan del tenant y calcula prioridad y vencimientos.
5. Responde con el número SOP-###### y envía constancia.</t>
  </si>
  <si>
    <t>tipo (INCIDENTE|CONSULTA|REQUERIMIENTO|MEJORA); titulo (texto 5-200); descripcion (texto 10-5000); impacto (1-3); urgencia (1-3); adjuntos (TR-ARC); contexto (JSON sin PII)</t>
  </si>
  <si>
    <t>TR-RN-036, TR-RN-037, TR-RN-039</t>
  </si>
  <si>
    <t>Ticket NUEVO con prioridad y vencimientos de SLA</t>
  </si>
  <si>
    <t>TR-SOP, TR-ARC, TR-ORG, TR-NOT</t>
  </si>
  <si>
    <t>TR-RNF-026, TR-RNF-020</t>
  </si>
  <si>
    <t>TR-RF-112</t>
  </si>
  <si>
    <t>Crear ticket automático desde alerta</t>
  </si>
  <si>
    <t>El sistema debe crear un ticket de tipo INCIDENTE con canal ALERTA cuando se abra una alerta cuya regla tenga crea_ticket, de forma idempotente (un ticket por alerta), con prioridad derivada de la severidad.</t>
  </si>
  <si>
    <t>La regla de la alerta tiene crea_ticket = verdadero.</t>
  </si>
  <si>
    <t>1. El evaluador abre la alerta.
2. Invoca sop.crear_desde_alerta con el identificador de la alerta.
3. El sistema verifica que no exista ticket para esa alerta.
4. Crea el ticket con título y detalle de la alerta, sin reportante, y lo asigna a la bandeja N1.</t>
  </si>
  <si>
    <t>alerta_id (único en ticket); severidad → impacto y urgencia (CRITICA → 1/1; ALTA → 1/2; MEDIA → 2/2; BAJA → 3/3); canal (ALERTA)</t>
  </si>
  <si>
    <t>TR-RN-036, TR-RN-037</t>
  </si>
  <si>
    <t>Ticket proactivo creado una sola vez por alerta</t>
  </si>
  <si>
    <t>TR-P08, TR-P09</t>
  </si>
  <si>
    <t>TR-SOP, TR-OBS</t>
  </si>
  <si>
    <t>TR-RNF-127, TR-RNF-008</t>
  </si>
  <si>
    <t>TR-RF-113</t>
  </si>
  <si>
    <t>Gestionar bandeja de tickets por SLA</t>
  </si>
  <si>
    <t>El sistema debe mostrar a los agentes la bandeja de tickets ordenada por prioridad y vencimiento, con indicadores de SLA (en plazo, por vencer, vencido), filtros por producto, nivel, estado y tenant, y asignación de tickets.</t>
  </si>
  <si>
    <t>plat.soporte.bandeja</t>
  </si>
  <si>
    <t>El agente tiene rol de soporte de plataforma.</t>
  </si>
  <si>
    <t>1. El agente abre la bandeja.
2. El sistema consulta sop.v_tablero_sla y muestra semáforos por plazo.
3. El agente filtra y toma o asigna un ticket.
4. La asignación se registra como evento del ticket.</t>
  </si>
  <si>
    <t>filtros: producto, nivel (N1|N2), estado, prioridad, tenant; columnas: numero, titulo, prioridad, estado, primera_respuesta_vence, resolucion_vence, asignado_a</t>
  </si>
  <si>
    <t>Bandeja priorizada con asignaciones</t>
  </si>
  <si>
    <t>TR-SOP, TR-ORG</t>
  </si>
  <si>
    <t>TR-RF-114</t>
  </si>
  <si>
    <t>Cambiar estado del ticket con control de SLA</t>
  </si>
  <si>
    <t>El sistema debe permitir cambiar el estado del ticket solo por las transiciones permitidas, pausar el SLA en ESPERA_CLIENTE y correr el vencimiento de resolución al reanudar, registrando sellos de tiempo de resolución y cierre.</t>
  </si>
  <si>
    <t>Agente de soporte (N1/N2), Usuario operativo del producto</t>
  </si>
  <si>
    <t>plat.soporte.estado</t>
  </si>
  <si>
    <t>El ticket existe y no está CERRADO.</t>
  </si>
  <si>
    <t>1. El agente elige el nuevo estado y escribe un comentario.
2. El sistema valida la transición contra sop.transicion.
3. Si pasa a ESPERA_CLIENTE guarda pausado_desde; al salir, suma la pausa al vencimiento.
4. Registra el evento CAMBIO_ESTADO y notifica al reportante.</t>
  </si>
  <si>
    <t>ticket_id; estado_nuevo (EN_ANALISIS|ESPERA_CLIENTE|ESCALADO_N2|RESUELTO|CERRADO|REABIERTO); comentario (texto 3-2000)</t>
  </si>
  <si>
    <t>TR-RN-038, TR-RN-037</t>
  </si>
  <si>
    <t>Ticket en el nuevo estado con SLA recalculado</t>
  </si>
  <si>
    <t>TR-SOP, TR-NOT</t>
  </si>
  <si>
    <t>TR-RNF-020, TR-RNF-013</t>
  </si>
  <si>
    <t>TR-RF-115</t>
  </si>
  <si>
    <t>Comentar y registrar notas internas</t>
  </si>
  <si>
    <t>El sistema debe permitir comentarios públicos visibles al cliente y notas internas solo para agentes; la primera respuesta pública de un agente sella el cumplimiento del SLA de primera respuesta.</t>
  </si>
  <si>
    <t>plat.soporte.comentar</t>
  </si>
  <si>
    <t>El ticket no está CERRADO.</t>
  </si>
  <si>
    <t>1. El actor escribe el texto y elige público o nota interna (solo agentes).
2. El sistema registra el evento con visibilidad.
3. Si es la primera respuesta pública de un agente, registra primera_respuesta_en.
4. Notifica al cliente solo los comentarios públicos.</t>
  </si>
  <si>
    <t>ticket_id; tipo (COMENTARIO|NOTA_INTERNA); texto (texto 1-5000); visible_cliente (booleano); adjuntos</t>
  </si>
  <si>
    <t>TR-RN-039, TR-RN-037</t>
  </si>
  <si>
    <t>Conversación del ticket con visibilidad correcta</t>
  </si>
  <si>
    <t>TR-SOP, TR-ARC, TR-NOT</t>
  </si>
  <si>
    <t>TR-RNF-013, TR-RNF-020</t>
  </si>
  <si>
    <t>TR-RF-116</t>
  </si>
  <si>
    <t>Escalar a N2 y vincular problema con GitHub</t>
  </si>
  <si>
    <t>El sistema debe permitir escalar tickets a N2 y vincular varios tickets a un problema (causa raíz) enlazado a un issue de GitHub, creando el issue desde la consola con el contexto técnico sin datos personales.</t>
  </si>
  <si>
    <t>Agente de soporte (N1/N2), GitHub</t>
  </si>
  <si>
    <t>plat.soporte.problema</t>
  </si>
  <si>
    <t>El ticket está EN_ANALISIS.</t>
  </si>
  <si>
    <t>1. El agente N1 escala el ticket a ESCALADO_N2.
2. El agente N2 crea un problema o vincula el ticket a uno existente.
3. Si el problema no tiene issue, lo crea en GitHub con título, pasos y contexto técnico.
4. El problema muestra los tickets vinculados y el enlace org/repo#número.</t>
  </si>
  <si>
    <t>problema: producto_codigo, titulo (texto 5-200), github_issue (org/repo#n), estado (ABIERTO|EN_CURSO|RESUELTO); tickets_vinculados[]</t>
  </si>
  <si>
    <t>TR-RN-038, TR-RN-039</t>
  </si>
  <si>
    <t>Problema con issue de GitHub y tickets vinculados</t>
  </si>
  <si>
    <t>TR-SOP, TR-INT</t>
  </si>
  <si>
    <t>TR-RNF-024, TR-RNF-013</t>
  </si>
  <si>
    <t>TR-RF-117</t>
  </si>
  <si>
    <t>Resolver problema y cerrar tickets vinculados</t>
  </si>
  <si>
    <t>El sistema debe permitir marcar un problema como resuelto con la versión de corrección, resolviendo en lote todos sus tickets abiertos y avisando a cada cliente; los tickets resueltos se cierran automáticamente tras 5 días sin respuesta.</t>
  </si>
  <si>
    <t>Agente de soporte (N1/N2), Planificador de tareas</t>
  </si>
  <si>
    <t>El problema tiene tickets vinculados.</t>
  </si>
  <si>
    <t>1. El agente marca el problema RESUELTO con la versión de corrección.
2. El sistema ejecuta sop.resolver_problema y resuelve los tickets abiertos.
3. Notifica a cada reportante con la versión.
4. El planificador cierra los tickets RESUELTO con 5 días sin respuesta del cliente.</t>
  </si>
  <si>
    <t>problema_id; version_correccion (semver); dias_cierre_automatico (parámetro, por defecto 5)</t>
  </si>
  <si>
    <t>Tickets resueltos en lote y clientes informados</t>
  </si>
  <si>
    <t>TR-SOP, TR-NOT, TR-CFG</t>
  </si>
  <si>
    <t>TR-RNF-020, TR-RNF-005</t>
  </si>
  <si>
    <t>TR-RF-118</t>
  </si>
  <si>
    <t>Gestionar base de conocimiento con sugerencias</t>
  </si>
  <si>
    <t>El sistema debe permitir publicar artículos de ayuda por producto y módulo, medir su utilidad y sugerirlos por similitud semántica en el widget y al agente mientras redacta la respuesta.</t>
  </si>
  <si>
    <t>plat.soporte.kb</t>
  </si>
  <si>
    <t>El agente tiene rol de soporte.</t>
  </si>
  <si>
    <t>1. El agente crea o edita un artículo y lo publica.
2. El sistema calcula su embedding con TR-IA.
3. Al escribir un ticket, el widget sugiere los 3 artículos más similares.
4. Los usuarios votan si el artículo fue útil.</t>
  </si>
  <si>
    <t>producto_codigo; modulo; titulo (texto 5-200); contenido (texto enriquecido); publicado (booleano); util_si, util_no (entero); embedding (vector)</t>
  </si>
  <si>
    <t>Artículos publicados y sugeridos con métricas de utilidad</t>
  </si>
  <si>
    <t>TR-SOP, TR-IA</t>
  </si>
  <si>
    <t>TR-RNF-020, TR-RNF-115</t>
  </si>
  <si>
    <t>TR-RF-119</t>
  </si>
  <si>
    <t>MOD-18 · Gestor de contenidos web (TR-CMS)</t>
  </si>
  <si>
    <t>Configurar sitio público y dominio</t>
  </si>
  <si>
    <t>El sistema debe permitir configurar el sitio público del tenant con subdominio de la plataforma o dominio propio verificado por DNS con certificado TLS automático, e identidad de marca (logo, favicon, colores, tipografía) aplicada por tokens de diseño.</t>
  </si>
  <si>
    <t>Administrador del cliente, Editor de contenidos web</t>
  </si>
  <si>
    <t>plat.cms.sitio</t>
  </si>
  <si>
    <t>El tenant tiene un producto con sitio público (&lt;cod&gt;-web) suscrito.</t>
  </si>
  <si>
    <t>1. El actor elige subdominio (p. ej. donlucho.sazonpos.pe) o ingresa su dominio propio.
2. Para dominio propio, el sistema muestra el registro CNAME o TXT a crear y verifica periódicamente.
3. Al verificarse, emite el certificado TLS y activa el dominio.
4. El actor sube logo y favicon y elige colores; el sistema genera los tokens de diseño del sitio.</t>
  </si>
  <si>
    <t>subdominio (texto 3-40, minúsculas, único); dominio_propio (FQDN opcional); estado_dominio (PENDIENTE_DNS|VERIFICADO|ACTIVO|ERROR); logo (SVG/PNG ≤ 1 MB); favicon; color_primario, color_secundario (hex); tipografia (lista permitida)</t>
  </si>
  <si>
    <t>TR-RN-042, TR-RN-027</t>
  </si>
  <si>
    <t>Sitio accesible en su dominio con la marca del cliente</t>
  </si>
  <si>
    <t>TR-CMS, TR-ARC, TR-ORG</t>
  </si>
  <si>
    <t>TR-RNF-123, TR-RNF-027, TR-RNF-011</t>
  </si>
  <si>
    <t>TR-RF-120</t>
  </si>
  <si>
    <t>Gestionar páginas por bloques</t>
  </si>
  <si>
    <t>El sistema debe permitir crear, editar, ordenar y despublicar páginas compuestas por bloques reutilizables (hero, texto, galería, servicios, testimonios, mapa, llamada a la acción, bloque dinámico del producto) con estado borrador o publicado y slug único.</t>
  </si>
  <si>
    <t>plat.cms.pagina</t>
  </si>
  <si>
    <t>El sitio está configurado.</t>
  </si>
  <si>
    <t>1. El editor crea la página con título y slug.
2. Agrega y ordena bloques y completa su contenido.
3. Guarda como borrador y previsualiza en escritorio y móvil.
4. Publica; el sistema genera la versión, invalida la caché del CDN y publica cms.pagina_publicada.</t>
  </si>
  <si>
    <t>titulo (texto 3-120); slug (texto 1-80, minúsculas y guiones, único por sitio); bloques[] (tipo, orden, contenido JSON); estado (BORRADOR|PUBLICADA|DESPUBLICADA); version (entero)</t>
  </si>
  <si>
    <t>Página publicada visible en ≤ 60 s</t>
  </si>
  <si>
    <t>TR-CMS, TR-ARC, TR-EVT</t>
  </si>
  <si>
    <t>TR-RNF-123, TR-RNF-019, TR-RNF-004</t>
  </si>
  <si>
    <t>TR-RF-121</t>
  </si>
  <si>
    <t>Gestionar menús, banners y galería</t>
  </si>
  <si>
    <t>El sistema debe permitir administrar el menú de navegación del sitio (enlaces a páginas, URL externas, submenús), banners con vigencia y galerías de imágenes optimizadas automáticamente en formatos WebP y tamaños responsivos.</t>
  </si>
  <si>
    <t>plat.cms.medios</t>
  </si>
  <si>
    <t>1. El editor ordena los ítems del menú y define submenús.
2. Sube imágenes para banners o galería; el sistema las valida y genera variantes WebP de 480, 960 y 1920 px.
3. Define vigencia de los banners.
4. Publica y el sistema invalida la caché.</t>
  </si>
  <si>
    <t>menu[] (texto 1-40, destino página o URL, orden, padre); banner (imagen, titulo 0-80, enlace, vigente_desde, vigente_hasta); galeria (imágenes con texto alternativo obligatorio)</t>
  </si>
  <si>
    <t>TR-RN-027, TR-RN-042</t>
  </si>
  <si>
    <t>Navegación y medios actualizados en el sitio</t>
  </si>
  <si>
    <t>TR-CMS, TR-ARC</t>
  </si>
  <si>
    <t>TR-RNF-004, TR-RNF-019</t>
  </si>
  <si>
    <t>TR-RF-122</t>
  </si>
  <si>
    <t>Publicar noticias con programación</t>
  </si>
  <si>
    <t>El sistema debe permitir redactar noticias o entradas de blog con categoría, imagen destacada y resumen, y publicarlas de inmediato o programarlas para una fecha y hora en la zona America/Lima.</t>
  </si>
  <si>
    <t>Editor de contenidos web, Planificador de tareas</t>
  </si>
  <si>
    <t>plat.cms.noticia</t>
  </si>
  <si>
    <t>1. El editor redacta la noticia y asigna categoría e imagen.
2. Elige publicar ahora o programa fecha y hora.
3. El planificador publica a la hora indicada e invalida la caché.
4. La noticia aparece en el listado y en el feed RSS.</t>
  </si>
  <si>
    <t>titulo (texto 5-150); slug; resumen (texto 20-300); contenido (texto enriquecido); categoria (catálogo propio del tenant); imagen_destacada; publicar_en (fecha-hora futura opcional)</t>
  </si>
  <si>
    <t>Noticia publicada en la fecha prevista</t>
  </si>
  <si>
    <t>TR-CMS, TR-ARC, TR-CAT</t>
  </si>
  <si>
    <t>TR-RNF-123, TR-RNF-004</t>
  </si>
  <si>
    <t>TR-RF-123</t>
  </si>
  <si>
    <t>Configurar SEO del sitio y páginas</t>
  </si>
  <si>
    <t>El sistema debe permitir definir título SEO, descripción, imagen Open Graph, URL canónica e indexación por página, y generar automáticamente sitemap.xml, robots.txt y datos estructurados schema.org del negocio (LocalBusiness con dirección y horario).</t>
  </si>
  <si>
    <t>plat.cms.seo</t>
  </si>
  <si>
    <t>Existen páginas publicadas.</t>
  </si>
  <si>
    <t>1. El editor completa los campos SEO de la página.
2. El sistema valida longitudes recomendadas y muestra la vista previa del resultado de búsqueda.
3. Al publicar regenera sitemap.xml.
4. Inserta los datos estructurados con datos de la sucursal principal.</t>
  </si>
  <si>
    <t>titulo_seo (texto 10-60); descripcion_seo (texto 50-160); imagen_og (1200×630); canonica (URL); indexable (booleano); datos_estructurados (JSON-LD generado)</t>
  </si>
  <si>
    <t>Páginas indexables con metadatos correctos</t>
  </si>
  <si>
    <t>TR-CMS, TR-ORG</t>
  </si>
  <si>
    <t>TR-RF-124</t>
  </si>
  <si>
    <t>Recibir formularios de contacto</t>
  </si>
  <si>
    <t>El sistema debe proveer formularios configurables en el sitio (contacto, cotización, reclamo derivado al producto) con protección anti-spam, aceptación de política de privacidad, registro del envío y notificación al tenant.</t>
  </si>
  <si>
    <t>Cliente final / titular de datos, Administrador del cliente</t>
  </si>
  <si>
    <t>publico.cms.formulario</t>
  </si>
  <si>
    <t>El formulario está publicado en una página.</t>
  </si>
  <si>
    <t>1. El visitante completa los campos y acepta la política de privacidad.
2. El sistema valida campos, el desafío anti-spam y el límite de envíos por IP.
3. Registra el envío, crea o vincula la persona si dio consentimiento y notifica al correo configurado.
4. Muestra confirmación al visitante.</t>
  </si>
  <si>
    <t>formulario (código); campos (nombre 3-100, correo, celular 9 dígitos, mensaje 10-2000); acepta_privacidad (obligatorio); consentimiento_promociones (opcional); desafio_antispam (token)</t>
  </si>
  <si>
    <t>TR-RN-043, TR-RN-030, TR-RN-025</t>
  </si>
  <si>
    <t>Envío registrado y tenant notificado</t>
  </si>
  <si>
    <t>TR-P07, TR-P06</t>
  </si>
  <si>
    <t>TR-CMS, TR-PER, TR-NOT</t>
  </si>
  <si>
    <t>TR-RNF-015, TR-RNF-016, TR-RNF-019</t>
  </si>
  <si>
    <t>TR-RF-125</t>
  </si>
  <si>
    <t>MOD-19 · Portal del cliente final (TR-POR)</t>
  </si>
  <si>
    <t>Registrar cliente final en el portal</t>
  </si>
  <si>
    <t>El sistema debe permitir que un cliente final se registre en el portal del tenant con correo y contraseña gestionados por el IdP, con Google o con su celular mediante OTP, aceptando la política de privacidad vigente y vinculándose a su ficha de persona.</t>
  </si>
  <si>
    <t>Cliente final / titular de datos, Proveedor de identidad OIDC (IdP)</t>
  </si>
  <si>
    <t>publico.portal.registro</t>
  </si>
  <si>
    <t>El tenant tiene el portal habilitado en su producto.</t>
  </si>
  <si>
    <t>1. El visitante elige el método de registro.
2. Acepta la política de privacidad vigente y, opcionalmente, finalidades adicionales.
3. El IdP crea la cuenta de tipo EXTERNO en el realm de clientes.
4. El sistema busca la persona por documento, correo o celular y la vincula, o crea una nueva.
5. Envía la bienvenida.</t>
  </si>
  <si>
    <t>metodo (CORREO|GOOGLE|OTP_CELULAR); correo; celular (9 dígitos); tipo_documento, numero (opcional para vincular); acepta_privacidad (obligatorio, versión)</t>
  </si>
  <si>
    <t>TR-RN-043, TR-RN-030</t>
  </si>
  <si>
    <t>Cuenta de cliente externo vinculada a su persona</t>
  </si>
  <si>
    <t>TR-P07, TR-P10</t>
  </si>
  <si>
    <t>TR-POR, TR-SEG, TR-PER</t>
  </si>
  <si>
    <t>TR-RNF-009, TR-RNF-016, TR-RNF-019</t>
  </si>
  <si>
    <t>TR-RF-126</t>
  </si>
  <si>
    <t>Ingresar al portal con OTP</t>
  </si>
  <si>
    <t>El sistema debe permitir el acceso de clientes finales con un código OTP de 6 dígitos enviado por SMS o WhatsApp, con vigencia de 5 minutos, 3 intentos y bloqueo de reenvío por 60 segundos.</t>
  </si>
  <si>
    <t>Cliente final / titular de datos, Proveedor de mensajería</t>
  </si>
  <si>
    <t>publico.portal.otp</t>
  </si>
  <si>
    <t>El celular está asociado a una cuenta del portal.</t>
  </si>
  <si>
    <t>1. El cliente ingresa su celular.
2. El sistema genera el OTP, lo envía y aplica el límite de tasa.
3. El cliente ingresa el código.
4. Si es correcto, el IdP emite la sesión del cliente.</t>
  </si>
  <si>
    <t>celular (9 dígitos); codigo (6 dígitos); intentos (máximo 3); expira_en (5 min); reenvio_disponible_en (60 s)</t>
  </si>
  <si>
    <t>Sesión del cliente iniciada</t>
  </si>
  <si>
    <t>TR-POR, TR-SEG, TR-NOT</t>
  </si>
  <si>
    <t>TR-RNF-015, TR-RNF-009</t>
  </si>
  <si>
    <t>TR-RF-127</t>
  </si>
  <si>
    <t>Gestionar perfil del cliente final</t>
  </si>
  <si>
    <t>El sistema debe permitir al cliente final ver y actualizar sus datos de contacto y dirección, cambiar su canal preferido y descargar sus datos personales en formato legible.</t>
  </si>
  <si>
    <t>publico.portal.perfil</t>
  </si>
  <si>
    <t>El cliente inició sesión.</t>
  </si>
  <si>
    <t>1. El cliente abre «Mi perfil».
2. Edita correo, celular o dirección; los cambios de correo o celular requieren verificación.
3. El sistema actualiza la ficha en TR-PER y publica persona.actualizada.
4. El cliente puede descargar sus datos en PDF.</t>
  </si>
  <si>
    <t>nombres (solo lectura si provienen de fuente oficial); correo; celular; direccion; ubigeo; canal_preferido</t>
  </si>
  <si>
    <t>TR-RN-030, TR-RN-029</t>
  </si>
  <si>
    <t>Datos actualizados en todos los productos del tenant</t>
  </si>
  <si>
    <t>TR-P07, TR-P11</t>
  </si>
  <si>
    <t>TR-POR, TR-PER, TR-NOT</t>
  </si>
  <si>
    <t>TR-RNF-019, TR-RNF-016</t>
  </si>
  <si>
    <t>TR-RF-128</t>
  </si>
  <si>
    <t>Consultar mis transacciones</t>
  </si>
  <si>
    <t>El sistema debe mostrar al cliente final una vista consolidada de sus compras, citas, membresías, pedidos y trámites en los productos del tenant, provista por cada producto mediante su contribución al portal, con acceso a comprobantes.</t>
  </si>
  <si>
    <t>publico.portal.transacciones</t>
  </si>
  <si>
    <t>El cliente inició sesión y tiene rol en al menos un producto.</t>
  </si>
  <si>
    <t>1. El cliente abre «Mis movimientos».
2. El shell solicita a cada producto en el que tiene rol su lista resumida.
3. Muestra la lista ordenada por fecha con estado y enlace al detalle del producto.
4. Desde una compra descarga su comprobante electrónico.</t>
  </si>
  <si>
    <t>producto; tipo (COMPRA|CITA|MEMBRESIA|PEDIDO|TRAMITE); fecha; descripcion; estado; monto; comprobante (serie-número)</t>
  </si>
  <si>
    <t>Historial del cliente en un solo lugar</t>
  </si>
  <si>
    <t>TR-P07, TR-P04</t>
  </si>
  <si>
    <t>TR-POR, TR-FE, TR-PER</t>
  </si>
  <si>
    <t>TR-RNF-002, TR-RNF-004</t>
  </si>
  <si>
    <t>TR-RF-129</t>
  </si>
  <si>
    <t>Gestionar consentimientos desde el portal</t>
  </si>
  <si>
    <t>El sistema debe permitir al cliente final ver las finalidades de tratamiento con la versión aceptada, otorgar o revocar cada una y presentar solicitudes ARCO desde el portal.</t>
  </si>
  <si>
    <t>publico.portal.consentimientos</t>
  </si>
  <si>
    <t>1. El cliente abre «Privacidad».
2. El sistema lista finalidades con estado, versión y fecha.
3. El cliente otorga o revoca una finalidad.
4. El sistema registra el cambio en TR-PER y lo propaga por evento.</t>
  </si>
  <si>
    <t>finalidad; estado (ACEPTADA|REVOCADA|NO_OTORGADA); version_texto; fecha_decision</t>
  </si>
  <si>
    <t>Consentimientos actualizados por decisión del titular</t>
  </si>
  <si>
    <t>TR-POR, TR-PER, TR-AUD, TR-EVT</t>
  </si>
  <si>
    <t>TR-RF-130</t>
  </si>
  <si>
    <t>MOD-20 · Integración externa (TR-INT)</t>
  </si>
  <si>
    <t>Registrar clientes de API</t>
  </si>
  <si>
    <t>El sistema debe permitir al administrador del cliente registrar integraciones con credenciales OAuth2 client_credentials, alcances por producto y operación, IP permitidas opcionales y rotación del secreto.</t>
  </si>
  <si>
    <t>plat.integracion.cliente</t>
  </si>
  <si>
    <t>El plan del tenant incluye la API pública.</t>
  </si>
  <si>
    <t>1. El actor registra el nombre de la integración y los alcances.
2. El sistema genera client_id y secreto y muestra el secreto una sola vez.
3. El actor puede restringir IP, rotar el secreto o revocar el cliente.
4. Cada operación se audita.</t>
  </si>
  <si>
    <t>nombre (texto 3-120); alcances[] (p. ej. eco.pedidos.leer, col.tickets.leer); ips_permitidas[] (CIDR); client_id (generado); secreto (mostrado una vez, guardado con hash)</t>
  </si>
  <si>
    <t>TR-RN-044, TR-RN-009</t>
  </si>
  <si>
    <t>Cliente de API activo con alcances mínimos</t>
  </si>
  <si>
    <t>TR-INT, TR-SEG, TR-AUD</t>
  </si>
  <si>
    <t>TR-RNF-113, TR-RNF-022</t>
  </si>
  <si>
    <t>TR-RF-131</t>
  </si>
  <si>
    <t>Exponer API pública versionada con límites</t>
  </si>
  <si>
    <t>El sistema debe exponer la API pública /v1 de cada producto y de la plataforma documentada en OpenAPI 3, con autenticación OAuth2, aislamiento por tenant, límite de solicitudes por plan, paginación por cursor y cabeceras de deprecación.</t>
  </si>
  <si>
    <t>alcance OAuth2 de la operación</t>
  </si>
  <si>
    <t>El integrador obtuvo un token con client_credentials.</t>
  </si>
  <si>
    <t>1. El integrador solicita el token y llama al endpoint.
2. La pasarela valida token, alcance e IP y aplica el límite del plan.
3. El endpoint ejecuta con el contexto de tenant del cliente.
4. Responde con datos paginados o error estándar; incluye Deprecation y Sunset cuando aplique.</t>
  </si>
  <si>
    <t>Authorization (Bearer); X-Idempotency-Key (para escrituras); limit (1-100); cursor (opaco); respuesta de error (codigo, mensaje, trace_id)</t>
  </si>
  <si>
    <t>Respuesta conforme al contrato OpenAPI</t>
  </si>
  <si>
    <t>TR-INT, TR-SEG, TR-OBS</t>
  </si>
  <si>
    <t>TR-RNF-022, TR-RNF-118, TR-RNF-015</t>
  </si>
  <si>
    <t>TR-RF-132</t>
  </si>
  <si>
    <t>Configurar webhooks salientes</t>
  </si>
  <si>
    <t>El sistema debe permitir suscribir URL externas a tipos de evento del tenant, entregando cada evento firmado con HMAC-SHA256, con reintentos exponenciales hasta 24 horas, historial de entregas, reenvío manual y desactivación tras 3 días de fallos.</t>
  </si>
  <si>
    <t>Administrador del cliente, Sistema institucional o integrador</t>
  </si>
  <si>
    <t>plat.integracion.webhook</t>
  </si>
  <si>
    <t>El tenant tiene la API pública en su plan.</t>
  </si>
  <si>
    <t>1. El actor registra la URL HTTPS y los tipos de evento.
2. El sistema genera el secreto de firma y envía un evento de prueba.
3. Cada evento suscrito se entrega con firma, event_id y marca de tiempo.
4. Ante fallos reintenta; tras 3 días seguidos de fallos desactiva la suscripción y notifica.</t>
  </si>
  <si>
    <t>url (HTTPS obligatorio); eventos[] (catálogo de eventos públicos); secreto (generado); estado (ACTIVA|DESACTIVADA); entregas[] (event_id, intento, codigo_http, latencia)</t>
  </si>
  <si>
    <t>TR-RN-045, TR-RN-034</t>
  </si>
  <si>
    <t>Eventos entregados a sistemas externos con trazabilidad</t>
  </si>
  <si>
    <t>TR-INT, TR-EVT, TR-NOT</t>
  </si>
  <si>
    <t>TR-RNF-107, TR-RNF-109</t>
  </si>
  <si>
    <t>TR-RF-133</t>
  </si>
  <si>
    <t>Sincronizar con base institucional por cursor</t>
  </si>
  <si>
    <t>El sistema debe permitir que un conector institucional lea eventos del outbox por cursor con autenticación client_credentials, confirme el último seq procesado, y que la plataforma registre la conciliación diaria de conteos origen y destino.</t>
  </si>
  <si>
    <t>Sistema institucional o integrador, Planificador de tareas</t>
  </si>
  <si>
    <t>alcance sync.leer</t>
  </si>
  <si>
    <t>El suscriptor está registrado en sync.subscriber con su client_id.</t>
  </si>
  <si>
    <t>1. El conector solicita eventos desde su último seq confirmado.
2. El sistema devuelve un lote con sync.read_events respetando el margen de seguridad.
3. El conector aplica los cambios con UPSERT por versión y confirma el seq.
4. Diariamente el conector reporta conteos y el sistema registra si la conciliación cuadra.
5. La purga elimina eventos confirmados por todos los suscriptores tras la retención.</t>
  </si>
  <si>
    <t>subscriber_id; after_seq (bigint); limit (1-1000); last_ack_seq; reconciliation: fecha_operacion, sede_id, conteos origen y destino, cuadra (calculado)</t>
  </si>
  <si>
    <t>Base institucional sincronizada y conciliada</t>
  </si>
  <si>
    <t>TR-INT, TR-EVT, TR-OBS</t>
  </si>
  <si>
    <t>TR-RNF-106, TR-RNF-117, TR-RNF-007</t>
  </si>
  <si>
    <t>TR-RF-134</t>
  </si>
  <si>
    <t>MOD-21 · Agente local (TR-EDGE)</t>
  </si>
  <si>
    <t>Enrolar agente local</t>
  </si>
  <si>
    <t>El sistema debe permitir instalar y enrolar el agente local en una sucursal mediante un código de activación de un solo uso generado en la administración del cliente, obteniendo credenciales propias del dispositivo y su configuración.</t>
  </si>
  <si>
    <t>plat.edge.enrolar</t>
  </si>
  <si>
    <t>El producto del tenant requiere agente local y la sucursal existe.</t>
  </si>
  <si>
    <t>1. El administrador genera el código de activación para la sucursal (vigencia 30 minutos).
2. El técnico instala el agente e ingresa el código.
3. El agente se registra, recibe certificado de cliente y su configuración (impresoras, dispositivos, serie offline).
4. La consola muestra el agente EN_LINEA.</t>
  </si>
  <si>
    <t>codigo_activacion (8 caracteres, un solo uso, 30 min); sucursal_id; nombre_equipo; sistema_operativo; version_agente</t>
  </si>
  <si>
    <t>TR-RN-046, TR-RN-001</t>
  </si>
  <si>
    <t>Agente enrolado y en línea</t>
  </si>
  <si>
    <t>TR-P12, TR-P01</t>
  </si>
  <si>
    <t>TR-EDGE, TR-ORG, TR-SEG</t>
  </si>
  <si>
    <t>TR-RNF-108, TR-RNF-011</t>
  </si>
  <si>
    <t>TR-RF-135</t>
  </si>
  <si>
    <t>Imprimir en impresora térmica y abrir cajón</t>
  </si>
  <si>
    <t>El sistema debe permitir a los productos enviar trabajos de impresión ESC/POS (comprobantes, comandas, tickets) al agente local, que los dirige a la impresora configurada por unidad o estación, abre el cajón de dinero cuando se indica y reporta el resultado.</t>
  </si>
  <si>
    <t>plat.edge.imprimir</t>
  </si>
  <si>
    <t>El agente está enrolado con impresoras configuradas.</t>
  </si>
  <si>
    <t>1. El producto envía el trabajo con destino lógico (p. ej. CAJA-01, COCINA) por Socket.IO o por la cola local.
2. El agente resuelve la impresora física (USB, red o Bluetooth).
3. Imprime y, si se indica, envía el pulso de apertura del cajón.
4. Reporta IMPRESO o ERROR (sin papel, desconectada) y reintenta según política.</t>
  </si>
  <si>
    <t>destino (texto); tipo (COMPROBANTE|COMANDA|TICKET|PRECUENTA); contenido (ESC/POS o plantilla); abrir_cajon (booleano); copias (1-3)</t>
  </si>
  <si>
    <t>Documento impreso y resultado reportado</t>
  </si>
  <si>
    <t>TR-P12, TR-P04</t>
  </si>
  <si>
    <t>TR-EDGE, TR-FE</t>
  </si>
  <si>
    <t>TR-RNF-108, TR-RNF-001</t>
  </si>
  <si>
    <t>TR-RF-136</t>
  </si>
  <si>
    <t>Operar sin internet con cola local</t>
  </si>
  <si>
    <t>El sistema debe permitir que el agente local reciba y almacene operaciones de los equipos del local en una cola cifrada cuando no hay conexión con la nube, emitiendo números de los bloques reservados, y las sincronice en orden al recuperar la conexión.</t>
  </si>
  <si>
    <t>plat.edge.offline</t>
  </si>
  <si>
    <t>El agente tiene bloques de numeración y catálogos en caché.</t>
  </si>
  <si>
    <t>1. El agente detecta la pérdida de conexión y lo anuncia a los equipos del local.
2. Los equipos envían sus operaciones al agente, que las guarda con origen EDGE y versión.
3. Al recuperar conexión, el agente envía los eventos en orden por seq local.
4. La nube los aplica idempotentemente por event_id y devuelve confirmaciones.
5. El agente informa los números usados de los bloques reservados.</t>
  </si>
  <si>
    <t>evento_local (event_id, tipo, agregado, version, payload, creado_en); estado (PENDIENTE|ENVIADO|CONFIRMADO|CONFLICTO); horas_sin_conexion</t>
  </si>
  <si>
    <t>TR-RN-046, TR-RN-034, TR-RN-016</t>
  </si>
  <si>
    <t>Operación continua y sincronización sin pérdidas</t>
  </si>
  <si>
    <t>TR-EDGE, TR-EVT, TR-SEQ</t>
  </si>
  <si>
    <t>TR-RNF-108, TR-RNF-008</t>
  </si>
  <si>
    <t>TR-RF-137</t>
  </si>
  <si>
    <t>Mantener caché local de configuración y catálogos</t>
  </si>
  <si>
    <t>El sistema debe mantener en el agente una copia local de la configuración de la sucursal, parámetros, catálogos y datos maestros que el producto declare como necesarios para operar offline, actualizada por eventos y por sincronización periódica.</t>
  </si>
  <si>
    <t>plat.edge.cache</t>
  </si>
  <si>
    <t>El agente está enrolado.</t>
  </si>
  <si>
    <t>1. El agente descarga el paquete inicial de datos declarados por el producto.
2. Se suscribe a eventos de cambio (catalogo.actualizado, parametro.cambiado, precios).
3. Cada 15 minutos verifica versiones y descarga diferencias.
4. Sirve los datos a los equipos del local cuando no hay conexión.</t>
  </si>
  <si>
    <t>paquetes[] (catálogos, parámetros, productos y precios, servicios, usuarios con PIN local); version_por_paquete; ultima_sincronizacion</t>
  </si>
  <si>
    <t>Datos locales vigentes para operar offline</t>
  </si>
  <si>
    <t>TR-P12, TR-P03</t>
  </si>
  <si>
    <t>TR-EDGE, TR-CAT, TR-CFG, TR-EVT</t>
  </si>
  <si>
    <t>TR-RNF-108, TR-RNF-102</t>
  </si>
  <si>
    <t>TR-RF-138</t>
  </si>
  <si>
    <t>Monitorear y actualizar agentes de forma remota</t>
  </si>
  <si>
    <t>El sistema debe recibir el latido (heartbeat) de cada agente con versión, estado de dispositivos y tamaño de cola, mostrar su estado en la consola, alertar cuando un agente deje de reportar y distribuir actualizaciones firmadas por anillos (piloto y general).</t>
  </si>
  <si>
    <t>Administrador de plataforma, Agente de soporte (N1/N2), Planificador de tareas</t>
  </si>
  <si>
    <t>plat.edge.gestionar</t>
  </si>
  <si>
    <t>Existen agentes enrolados.</t>
  </si>
  <si>
    <t>1. El agente envía un latido cada 60 segundos.
2. El sistema actualiza su estado y registra métricas en TR-OBS.
3. Si no recibe latido en 5 minutos en horario de operación, abre una alerta SIN_DATOS.
4. El administrador publica una nueva versión para el anillo piloto y luego general.
5. El agente descarga, verifica la firma e instala fuera del horario de operación.</t>
  </si>
  <si>
    <t>agente_id; version; dispositivos[] (tipo IMPRESORA|CAJON|BIOMETRICO|KIOSCO|PANTALLA, estado); cola_pendiente (entero); ultimo_latido; anillo (PILOTO|GENERAL)</t>
  </si>
  <si>
    <t>Parque de agentes visible y actualizado</t>
  </si>
  <si>
    <t>TR-P09, TR-P12</t>
  </si>
  <si>
    <t>TR-EDGE, TR-OBS, TR-SOP</t>
  </si>
  <si>
    <t>TR-RNF-108, TR-RNF-127</t>
  </si>
  <si>
    <t>Criterios de aceptación — formato GWT atómico</t>
  </si>
  <si>
    <t>DADO QUE [contexto] · CUANDO [acción] · ENTONCES [resultado verificable]. Completar Estado de prueba y Observaciones.</t>
  </si>
  <si>
    <t>Requerimiento</t>
  </si>
  <si>
    <t>Escenario</t>
  </si>
  <si>
    <t>DADO QUE</t>
  </si>
  <si>
    <t>CUANDO</t>
  </si>
  <si>
    <t>ENTONCES</t>
  </si>
  <si>
    <t>Estado de prueba</t>
  </si>
  <si>
    <t>Observaciones</t>
  </si>
  <si>
    <t>TR-CA-001</t>
  </si>
  <si>
    <t>Alta completa en modalidad prueba</t>
  </si>
  <si>
    <t>Positivo</t>
  </si>
  <si>
    <t>DADO QUE el administrador de plataforma tiene el permiso plat.tenant.crear y no existe el código «polleria-dona-rosa»</t>
  </si>
  <si>
    <t>CUANDO completa el asistente con producto REST, plan BASICO, modalidad PRUEBA y RUC 20601234561</t>
  </si>
  <si>
    <t>ENTONCES se crea el tenant «polleria-dona-rosa» en estado PRUEBA con su sucursal principal 0000 y se envía la invitación al propietario</t>
  </si>
  <si>
    <t>Pendiente</t>
  </si>
  <si>
    <t>TR-CA-002</t>
  </si>
  <si>
    <t>Código de tenant duplicado</t>
  </si>
  <si>
    <t>Negativo</t>
  </si>
  <si>
    <t>DADO QUE existe el tenant con código «polleria-dona-rosa»</t>
  </si>
  <si>
    <t>CUANDO intenta crear otro tenant con el mismo código</t>
  </si>
  <si>
    <t>ENTONCES el sistema rechaza el alta con el mensaje «El código de tenant ya existe» y no crea ningún registro</t>
  </si>
  <si>
    <t>TR-CA-003</t>
  </si>
  <si>
    <t>RUC con dígito verificador inválido</t>
  </si>
  <si>
    <t>DADO QUE el administrador está en el paso de empresa del asistente</t>
  </si>
  <si>
    <t>CUANDO ingresa el RUC 20601234560</t>
  </si>
  <si>
    <t>ENTONCES el sistema muestra «RUC inválido» y no permite avanzar al siguiente paso</t>
  </si>
  <si>
    <t>TR-CA-004</t>
  </si>
  <si>
    <t>Registro con datos del padrón</t>
  </si>
  <si>
    <t>DADO QUE el administrador del cliente tiene alcance TENANT en «grupo-sabores»</t>
  </si>
  <si>
    <t>CUANDO registra la empresa con RUC 20512345678</t>
  </si>
  <si>
    <t>ENTONCES la empresa queda activa con la razón social devuelta por el padrón y su sucursal principal 0000</t>
  </si>
  <si>
    <t>TR-CA-005</t>
  </si>
  <si>
    <t>RUC ya registrado en el tenant</t>
  </si>
  <si>
    <t>DADO QUE la empresa con RUC 20512345678 ya existe en el tenant</t>
  </si>
  <si>
    <t>CUANDO intenta registrarla nuevamente</t>
  </si>
  <si>
    <t>ENTONCES el sistema rechaza la operación con «La empresa ya está registrada en este tenant»</t>
  </si>
  <si>
    <t>TR-CA-006</t>
  </si>
  <si>
    <t>Contribuyente no habido</t>
  </si>
  <si>
    <t>Borde</t>
  </si>
  <si>
    <t>DADO QUE el padrón devuelve condición NO HABIDO para el RUC 20498765432</t>
  </si>
  <si>
    <t>CUANDO el actor confirma el registro</t>
  </si>
  <si>
    <t>ENTONCES el sistema registra la empresa y muestra la advertencia «Contribuyente NO HABIDO: no podrá emitir comprobantes hasta regularizar»</t>
  </si>
  <si>
    <t>TR-CA-007</t>
  </si>
  <si>
    <t>Nueva sucursal en Arequipa</t>
  </si>
  <si>
    <t>DADO QUE la empresa «Sabores del Sur SAC» tiene 1 sucursal y su plan permite 3</t>
  </si>
  <si>
    <t>CUANDO registra la sucursal «Cayma» con establecimiento 0002 y ubigeo 040103</t>
  </si>
  <si>
    <t>ENTONCES la sucursal «Cayma» queda activa y aparece en el selector de sucursales</t>
  </si>
  <si>
    <t>TR-CA-008</t>
  </si>
  <si>
    <t>Límite de sucursales del plan</t>
  </si>
  <si>
    <t>DADO QUE la suscripción REST del tenant tiene limite_sucursales = 2 y ya existen 2 sucursales activas</t>
  </si>
  <si>
    <t>CUANDO intenta registrar una tercera sucursal</t>
  </si>
  <si>
    <t>ENTONCES el sistema rechaza con «Su plan permite 2 sucursales; amplíe su plan»</t>
  </si>
  <si>
    <t>TR-CA-009</t>
  </si>
  <si>
    <t>Segunda sucursal principal</t>
  </si>
  <si>
    <t>DADO QUE la empresa ya tiene la sucursal principal «Centro»</t>
  </si>
  <si>
    <t>CUANDO marca como principal la sucursal «Cayma»</t>
  </si>
  <si>
    <t>ENTONCES el sistema traslada la marca de principal a «Cayma» y la retira de «Centro» en la misma operación</t>
  </si>
  <si>
    <t>TR-CA-010</t>
  </si>
  <si>
    <t>Caja en sucursal</t>
  </si>
  <si>
    <t>DADO QUE la sucursal «Cayma» existe</t>
  </si>
  <si>
    <t>CUANDO registra la unidad tipo CAJA con código «CAJA-01»</t>
  </si>
  <si>
    <t>ENTONCES la unidad «CAJA-01» queda activa en la sucursal «Cayma»</t>
  </si>
  <si>
    <t>TR-CA-011</t>
  </si>
  <si>
    <t>Consultorio sin sucursal</t>
  </si>
  <si>
    <t>DADO QUE el actor no selecciona sucursal</t>
  </si>
  <si>
    <t>CUANDO intenta registrar una unidad tipo CONSULTORIO</t>
  </si>
  <si>
    <t>ENTONCES el sistema rechaza con «Solo los almacenes pueden registrarse sin sucursal»</t>
  </si>
  <si>
    <t>TR-CA-012</t>
  </si>
  <si>
    <t>Almacén central de empresa</t>
  </si>
  <si>
    <t>DADO QUE la empresa «Librería Amauta EIRL» existe</t>
  </si>
  <si>
    <t>CUANDO registra una unidad tipo ALMACEN sin sucursal</t>
  </si>
  <si>
    <t>ENTONCES el almacén queda registrado a nivel de empresa y visible para todas sus sucursales</t>
  </si>
  <si>
    <t>TR-CA-013</t>
  </si>
  <si>
    <t>Ampliación de plan</t>
  </si>
  <si>
    <t>DADO QUE el tenant «clinica-san-pablo» tiene CLI en plan BASICO</t>
  </si>
  <si>
    <t>CUANDO cambia el plan a PRO con límite de 5 sucursales</t>
  </si>
  <si>
    <t>ENTONCES la suscripción queda en PRO y el límite de sucursales es 5</t>
  </si>
  <si>
    <t>TR-CA-014</t>
  </si>
  <si>
    <t>Límite menor que el uso actual</t>
  </si>
  <si>
    <t>DADO QUE el tenant tiene 12 usuarios activos en GYM</t>
  </si>
  <si>
    <t>CUANDO intenta fijar limite_usuarios = 10</t>
  </si>
  <si>
    <t>ENTONCES el sistema rechaza con «Hay 12 usuarios activos; el límite no puede ser menor»</t>
  </si>
  <si>
    <t>TR-CA-015</t>
  </si>
  <si>
    <t>Nuevo producto contratado</t>
  </si>
  <si>
    <t>DADO QUE el tenant «estudio-quispe» tiene LEX activo</t>
  </si>
  <si>
    <t>CUANDO agrega la suscripción DOC en plan BASICO</t>
  </si>
  <si>
    <t>ENTONCES los roles predefinidos de DOC quedan disponibles para asignar en el tenant</t>
  </si>
  <si>
    <t>TR-CA-016</t>
  </si>
  <si>
    <t>Suspensión por deuda</t>
  </si>
  <si>
    <t>DADO QUE el tenant «gym-fuerza-total» está ACTIVO con 2 facturas vencidas</t>
  </si>
  <si>
    <t>CUANDO el administrador lo suspende con motivo «Deuda de 60 días»</t>
  </si>
  <si>
    <t>ENTONCES el tenant queda SUSPENDIDO, sus usuarios solo pueden consultar y pagar, y el propietario recibe el aviso por correo</t>
  </si>
  <si>
    <t>TR-CA-017</t>
  </si>
  <si>
    <t>Transición no permitida</t>
  </si>
  <si>
    <t>DADO QUE el tenant está en BAJA</t>
  </si>
  <si>
    <t>CUANDO intenta reactivarlo a ACTIVO</t>
  </si>
  <si>
    <t>ENTONCES el sistema rechaza con «Un tenant dado de baja no puede reactivarse; cree uno nuevo o restaure desde respaldo»</t>
  </si>
  <si>
    <t>TR-CA-018</t>
  </si>
  <si>
    <t>Motivo vacío</t>
  </si>
  <si>
    <t>DADO QUE el actor elige SUSPENDIDO</t>
  </si>
  <si>
    <t>CUANDO confirma sin ingresar motivo</t>
  </si>
  <si>
    <t>ENTONCES el sistema exige el motivo y no cambia el estado</t>
  </si>
  <si>
    <t>TR-CA-019</t>
  </si>
  <si>
    <t>Aviso 3 días antes</t>
  </si>
  <si>
    <t>DADO QUE la suscripción PSI del tenant «psico-andina» vence el 13/10/2026</t>
  </si>
  <si>
    <t>CUANDO el job se ejecuta el 10/10/2026</t>
  </si>
  <si>
    <t>ENTONCES el propietario recibe el aviso «Su suscripción vence en 3 días»</t>
  </si>
  <si>
    <t>TR-CA-020</t>
  </si>
  <si>
    <t>Fin del periodo de gracia</t>
  </si>
  <si>
    <t>DADO QUE la suscripción venció hace 5 días y el parámetro dias_gracia es 5</t>
  </si>
  <si>
    <t>CUANDO el job se ejecuta</t>
  </si>
  <si>
    <t>ENTONCES el tenant pasa a SUSPENDIDO y se publica tenant.suspendido</t>
  </si>
  <si>
    <t>TR-CA-021</t>
  </si>
  <si>
    <t>Ejecución repetida el mismo día</t>
  </si>
  <si>
    <t>DADO QUE el job ya envió los avisos del 10/10/2026</t>
  </si>
  <si>
    <t>CUANDO se reejecuta manualmente ese día</t>
  </si>
  <si>
    <t>ENTONCES no se envían avisos duplicados</t>
  </si>
  <si>
    <t>TR-CA-022</t>
  </si>
  <si>
    <t>Aplicación de nueva versión</t>
  </si>
  <si>
    <t>DADO QUE REST tiene registrado el manifiesto 1.4.0</t>
  </si>
  <si>
    <t>CUANDO el pipeline aplica el manifiesto 1.5.0 con el permiso nuevo rest.propina.configurar</t>
  </si>
  <si>
    <t>ENTONCES el permiso queda registrado y la versión aplicada es 1.5.0</t>
  </si>
  <si>
    <t>TR-CA-023</t>
  </si>
  <si>
    <t>Aplicación idempotente</t>
  </si>
  <si>
    <t>DADO QUE el manifiesto 1.5.0 ya fue aplicado</t>
  </si>
  <si>
    <t>CUANDO se aplica nuevamente el mismo manifiesto</t>
  </si>
  <si>
    <t>ENTONCES el sistema reporta 0 cambios</t>
  </si>
  <si>
    <t>TR-CA-024</t>
  </si>
  <si>
    <t>Código de permiso mal formado</t>
  </si>
  <si>
    <t>DADO QUE el manifiesto contiene el permiso «rest-caja-cerrar»</t>
  </si>
  <si>
    <t>CUANDO el pipeline lo aplica</t>
  </si>
  <si>
    <t>ENTONCES el sistema rechaza el manifiesto completo indicando el permiso inválido y el despliegue se detiene</t>
  </si>
  <si>
    <t>TR-CA-025</t>
  </si>
  <si>
    <t>Invitación a cajera de sucursal</t>
  </si>
  <si>
    <t>DADO QUE el administrador tiene alcance TENANT y el plan permite 10 usuarios con 6 activos</t>
  </si>
  <si>
    <t>CUANDO invita a rosa.huaman@gmail.com con el perfil «Cajero» en la sucursal «Miraflores»</t>
  </si>
  <si>
    <t>ENTONCES se crea la membresía en estado INVITADO y se envía el correo de invitación</t>
  </si>
  <si>
    <t>TR-CA-026</t>
  </si>
  <si>
    <t>Alcance superior al propio</t>
  </si>
  <si>
    <t>DADO QUE el actor tiene alcance SUCURSAL en «Miraflores»</t>
  </si>
  <si>
    <t>CUANDO intenta invitar a un usuario con alcance TENANT</t>
  </si>
  <si>
    <t>ENTONCES el sistema rechaza con «No puede otorgar un alcance mayor al suyo»</t>
  </si>
  <si>
    <t>TR-CA-027</t>
  </si>
  <si>
    <t>Usuario ya miembro de otro tenant</t>
  </si>
  <si>
    <t>DADO QUE carlos.rojas@outlook.com es usuario activo del tenant «gym-norte»</t>
  </si>
  <si>
    <t>CUANDO lo invitan al tenant «gym-sur»</t>
  </si>
  <si>
    <t>ENTONCES se crea una segunda membresía sin duplicar el usuario</t>
  </si>
  <si>
    <t>TR-CA-028</t>
  </si>
  <si>
    <t>Aceptación exitosa</t>
  </si>
  <si>
    <t>DADO QUE rosa.huaman@gmail.com tiene una invitación vigente</t>
  </si>
  <si>
    <t>CUANDO acepta e inicia sesión en el IdP con ese correo</t>
  </si>
  <si>
    <t>ENTONCES su membresía queda ACTIVA y ve el menú del perfil «Cajero»</t>
  </si>
  <si>
    <t>TR-CA-029</t>
  </si>
  <si>
    <t>Invitación vencida</t>
  </si>
  <si>
    <t>DADO QUE la invitación fue emitida hace 80 horas</t>
  </si>
  <si>
    <t>CUANDO el invitado abre el enlace</t>
  </si>
  <si>
    <t>ENTONCES el sistema muestra «La invitación expiró; solicite una nueva al administrador»</t>
  </si>
  <si>
    <t>TR-CA-030</t>
  </si>
  <si>
    <t>Correo distinto</t>
  </si>
  <si>
    <t>DADO QUE la invitación es para rosa.huaman@gmail.com</t>
  </si>
  <si>
    <t>CUANDO el invitado inicia sesión con rosa.h@hotmail.com</t>
  </si>
  <si>
    <t>ENTONCES el sistema no activa la membresía y muestra «Esta invitación pertenece a otro correo»</t>
  </si>
  <si>
    <t>TR-CA-031</t>
  </si>
  <si>
    <t>Copia de rol predefinido</t>
  </si>
  <si>
    <t>DADO QUE existe el rol predefinido «REST_MOZO»</t>
  </si>
  <si>
    <t>CUANDO copia el rol como «Mozo terraza» y quita el permiso rest.pedido.anular</t>
  </si>
  <si>
    <t>ENTONCES el rol «Mozo terraza» queda activo sin el permiso de anular</t>
  </si>
  <si>
    <t>TR-CA-032</t>
  </si>
  <si>
    <t>Edición de rol predefinido</t>
  </si>
  <si>
    <t>DADO QUE el actor abre el rol predefinido «REST_CAJERO»</t>
  </si>
  <si>
    <t>CUANDO intenta quitarle un permiso</t>
  </si>
  <si>
    <t>ENTONCES el sistema indica «Los roles predefinidos no se editan; cree una copia»</t>
  </si>
  <si>
    <t>TR-CA-033</t>
  </si>
  <si>
    <t>Inactivar rol en uso</t>
  </si>
  <si>
    <t>DADO QUE el rol «Mozo terraza» está asignado a 4 usuarios</t>
  </si>
  <si>
    <t>CUANDO lo inactiva</t>
  </si>
  <si>
    <t>ENTONCES el sistema pide confirmación indicando los 4 usuarios afectados y, al confirmar, sus permisos dejan de estar vigentes</t>
  </si>
  <si>
    <t>TR-CA-034</t>
  </si>
  <si>
    <t>Perfil multiproducto</t>
  </si>
  <si>
    <t>DADO QUE el tenant tiene LIB y ECO contratados</t>
  </si>
  <si>
    <t>CUANDO crea el perfil «Encargado de tienda» con los roles LIB_VENDEDOR y ECO_GESTOR_PEDIDOS</t>
  </si>
  <si>
    <t>ENTONCES el perfil queda disponible y al asignarlo otorga permisos de ambos productos</t>
  </si>
  <si>
    <t>TR-CA-035</t>
  </si>
  <si>
    <t>Rol de producto no contratado</t>
  </si>
  <si>
    <t>DADO QUE el tenant no tiene CLI contratado</t>
  </si>
  <si>
    <t>CUANDO intenta agregar el rol CLI_RECEPCION al perfil</t>
  </si>
  <si>
    <t>ENTONCES el sistema no muestra ni acepta roles de productos no contratados</t>
  </si>
  <si>
    <t>TR-CA-036</t>
  </si>
  <si>
    <t>Asignación temporal por reemplazo</t>
  </si>
  <si>
    <t>DADO QUE Luis Paredes es miembro ACTIVO del tenant</t>
  </si>
  <si>
    <t>CUANDO le asignan el rol «Cajero» en la unidad «CAJA-02» del 15/10/2026 al 31/10/2026</t>
  </si>
  <si>
    <t>ENTONCES Luis tiene permisos de caja solo en «CAJA-02» y solo en ese rango de fechas</t>
  </si>
  <si>
    <t>TR-CA-037</t>
  </si>
  <si>
    <t>Rol y perfil a la vez</t>
  </si>
  <si>
    <t>DADO QUE el actor selecciona un rol y un perfil</t>
  </si>
  <si>
    <t>CUANDO intenta guardar la asignación</t>
  </si>
  <si>
    <t>ENTONCES el sistema rechaza con «Seleccione un rol o un perfil, no ambos»</t>
  </si>
  <si>
    <t>TR-CA-038</t>
  </si>
  <si>
    <t>Vigencia hasta anterior a desde</t>
  </si>
  <si>
    <t>DADO QUE el actor define vigente_desde 20/10/2026</t>
  </si>
  <si>
    <t>CUANDO ingresa vigente_hasta 19/10/2026</t>
  </si>
  <si>
    <t>ENTONCES el sistema rechaza con «La vigencia hasta no puede ser anterior a la vigencia desde»</t>
  </si>
  <si>
    <t>TR-CA-039</t>
  </si>
  <si>
    <t>Salida de colaborador</t>
  </si>
  <si>
    <t>DADO QUE Pedro Salazar tiene membresía ACTIVA y una sesión abierta</t>
  </si>
  <si>
    <t>CUANDO el administrador finaliza su membresía con motivo «Cese»</t>
  </si>
  <si>
    <t>ENTONCES la sesión de Pedro se invalida y no puede volver a ingresar al tenant</t>
  </si>
  <si>
    <t>TR-CA-040</t>
  </si>
  <si>
    <t>Último propietario</t>
  </si>
  <si>
    <t>DADO QUE Ana Torres es la única propietaria del tenant</t>
  </si>
  <si>
    <t>CUANDO intenta suspender su propia membresía</t>
  </si>
  <si>
    <t>ENTONCES el sistema rechaza con «El tenant debe tener al menos un propietario activo»</t>
  </si>
  <si>
    <t>TR-CA-041</t>
  </si>
  <si>
    <t>Alcance de empresa cubre sucursal</t>
  </si>
  <si>
    <t>DADO QUE María tiene el rol «Supervisor» con alcance EMPRESA en «Sabores del Sur SAC»</t>
  </si>
  <si>
    <t>CUANDO el producto consulta sus permisos para la sucursal «Cayma» de esa empresa</t>
  </si>
  <si>
    <t>ENTONCES la respuesta incluye los permisos del rol «Supervisor»</t>
  </si>
  <si>
    <t>TR-CA-042</t>
  </si>
  <si>
    <t>Suscripción vencida</t>
  </si>
  <si>
    <t>DADO QUE la suscripción GYM del tenant está VENCIDA</t>
  </si>
  <si>
    <t>CUANDO se consultan los permisos de un usuario con rol GYM_RECEPCION</t>
  </si>
  <si>
    <t>ENTONCES la respuesta no incluye permisos gym.* y el intento de acceso se registra como ACCESO_DENEGADO</t>
  </si>
  <si>
    <t>TR-CA-043</t>
  </si>
  <si>
    <t>Asignación que vence hoy</t>
  </si>
  <si>
    <t>DADO QUE la asignación de Luis tiene vigente_hasta igual a la fecha actual</t>
  </si>
  <si>
    <t>CUANDO se consultan sus permisos durante ese día</t>
  </si>
  <si>
    <t>ENTONCES la respuesta incluye los permisos de la asignación</t>
  </si>
  <si>
    <t>TR-CA-044</t>
  </si>
  <si>
    <t>Usuario con una sola sucursal</t>
  </si>
  <si>
    <t>DADO QUE Rosa solo tiene acceso a la sucursal «Miraflores»</t>
  </si>
  <si>
    <t>CUANDO inicia sesión</t>
  </si>
  <si>
    <t>ENTONCES ingresa directamente a «Miraflores» sin ver el selector</t>
  </si>
  <si>
    <t>TR-CA-045</t>
  </si>
  <si>
    <t>Cambio de sucursal en sesión</t>
  </si>
  <si>
    <t>DADO QUE Carmen tiene acceso a «Miraflores» y «Surco»</t>
  </si>
  <si>
    <t>CUANDO cambia a «Surco» desde el encabezado</t>
  </si>
  <si>
    <t>ENTONCES el menú y los datos se recargan con el contexto de «Surco» sin pedir nueva autenticación</t>
  </si>
  <si>
    <t>TR-CA-046</t>
  </si>
  <si>
    <t>Sin sucursales accesibles</t>
  </si>
  <si>
    <t>DADO QUE todas las asignaciones de Jorge vencieron</t>
  </si>
  <si>
    <t>ENTONCES el shell muestra «No tiene accesos vigentes; contacte a su administrador»</t>
  </si>
  <si>
    <t>TR-CA-047</t>
  </si>
  <si>
    <t>Anulación con MFA reciente</t>
  </si>
  <si>
    <t>DADO QUE la cajera completó MFA hace 5 minutos y tiene el permiso sensible rest.venta.anular</t>
  </si>
  <si>
    <t>CUANDO anula una venta</t>
  </si>
  <si>
    <t>ENTONCES la anulación se ejecuta y la auditoría registra mfa = verdadero</t>
  </si>
  <si>
    <t>TR-CA-048</t>
  </si>
  <si>
    <t>MFA vencido</t>
  </si>
  <si>
    <t>DADO QUE el último MFA del usuario fue hace 40 minutos</t>
  </si>
  <si>
    <t>CUANDO intenta exportar la lista de pacientes</t>
  </si>
  <si>
    <t>ENTONCES el sistema solicita el segundo factor y no ejecuta la exportación hasta completarlo</t>
  </si>
  <si>
    <t>TR-CA-049</t>
  </si>
  <si>
    <t>Cierre remoto por pérdida de celular</t>
  </si>
  <si>
    <t>DADO QUE el mozo Diego tiene una sesión activa en un celular perdido</t>
  </si>
  <si>
    <t>CUANDO el administrador cierra esa sesión</t>
  </si>
  <si>
    <t>ENTONCES el token de renovación se revoca y el celular pierde acceso en su siguiente solicitud</t>
  </si>
  <si>
    <t>TR-CA-050</t>
  </si>
  <si>
    <t>Sesiones de otro tenant</t>
  </si>
  <si>
    <t>DADO QUE un usuario pertenece a los tenants A y B</t>
  </si>
  <si>
    <t>CUANDO el administrador de A abre sus sesiones</t>
  </si>
  <si>
    <t>ENTONCES solo ve las sesiones con contexto del tenant A</t>
  </si>
  <si>
    <t>TR-CA-051</t>
  </si>
  <si>
    <t>Filtro por accesos denegados</t>
  </si>
  <si>
    <t>DADO QUE existen 15 eventos ACCESO_DENEGADO en la semana</t>
  </si>
  <si>
    <t>CUANDO filtra por ese tipo y la última semana</t>
  </si>
  <si>
    <t>ENTONCES se muestran los 15 eventos con usuario, permiso faltante y fecha</t>
  </si>
  <si>
    <t>TR-CA-052</t>
  </si>
  <si>
    <t>Rango sin eventos</t>
  </si>
  <si>
    <t>DADO QUE no hubo accesos de soporte en septiembre de 2026</t>
  </si>
  <si>
    <t>CUANDO filtra ACCESO_SOPORTE en ese mes</t>
  </si>
  <si>
    <t>ENTONCES el sistema muestra «Sin eventos para los filtros seleccionados»</t>
  </si>
  <si>
    <t>TR-CA-053</t>
  </si>
  <si>
    <t>Aprobación por 2 horas</t>
  </si>
  <si>
    <t>DADO QUE el agente Javier solicita acceso de lectura para el ticket SOP-000245</t>
  </si>
  <si>
    <t>CUANDO el administrador del cliente aprueba por 2 horas</t>
  </si>
  <si>
    <t>ENTONCES Javier accede al tenant con banner de soporte y el acceso expira a las 2 horas</t>
  </si>
  <si>
    <t>TR-CA-054</t>
  </si>
  <si>
    <t>Vigencia mayor a 4 horas</t>
  </si>
  <si>
    <t>DADO QUE existe una solicitud de acceso pendiente</t>
  </si>
  <si>
    <t>CUANDO el administrador intenta aprobarla por 8 horas</t>
  </si>
  <si>
    <t>ENTONCES el sistema limita la vigencia y muestra «La vigencia máxima es 4 horas»</t>
  </si>
  <si>
    <t>TR-CA-055</t>
  </si>
  <si>
    <t>Cierre del ticket durante el acceso</t>
  </si>
  <si>
    <t>DADO QUE Javier tiene acceso vigente por el ticket SOP-000245</t>
  </si>
  <si>
    <t>CUANDO el ticket pasa a CERRADO</t>
  </si>
  <si>
    <t>ENTONCES el acceso de soporte se revoca de inmediato</t>
  </si>
  <si>
    <t>TR-CA-056</t>
  </si>
  <si>
    <t>Transferencia aceptada</t>
  </si>
  <si>
    <t>DADO QUE Ana Torres es propietaria y Luis Paredes es miembro activo</t>
  </si>
  <si>
    <t>CUANDO Ana transfiere la propiedad y Luis acepta con MFA</t>
  </si>
  <si>
    <t>ENTONCES Luis queda como propietario y el cambio queda auditado</t>
  </si>
  <si>
    <t>TR-CA-057</t>
  </si>
  <si>
    <t>Destinatario suspendido</t>
  </si>
  <si>
    <t>DADO QUE la membresía de Pedro está SUSPENDIDA</t>
  </si>
  <si>
    <t>CUANDO Ana intenta transferirle la propiedad</t>
  </si>
  <si>
    <t>ENTONCES el sistema rechaza con «El destinatario debe tener membresía activa»</t>
  </si>
  <si>
    <t>TR-CA-058</t>
  </si>
  <si>
    <t>Nuevo catálogo mixto</t>
  </si>
  <si>
    <t>DADO QUE no existe el catálogo MEDIO_PAGO</t>
  </si>
  <si>
    <t>CUANDO lo crea con alcance MIXTO, fuente «Propio (SUNAT Cat. 59 como referencia)» y editable por tenant</t>
  </si>
  <si>
    <t>ENTONCES el catálogo queda en versión 1 y disponible para los productos</t>
  </si>
  <si>
    <t>TR-CA-059</t>
  </si>
  <si>
    <t>Global normativo editable</t>
  </si>
  <si>
    <t>DADO QUE el actor define un catálogo con alcance GLOBAL y fuente «SUNAT Catálogo 01»</t>
  </si>
  <si>
    <t>CUANDO marca editable_por_tenant = verdadero</t>
  </si>
  <si>
    <t>ENTONCES el sistema rechaza con «Un catálogo normativo global no puede ser editable por el tenant»</t>
  </si>
  <si>
    <t>TR-CA-060</t>
  </si>
  <si>
    <t>Ítem con atributos de validación</t>
  </si>
  <si>
    <t>DADO QUE existe el catálogo TIPO_DOC_IDENTIDAD</t>
  </si>
  <si>
    <t>CUANDO registra el ítem DNI con código externo 1 y atributos {"longitud":8,"regex":"^\\d{8}$"}</t>
  </si>
  <si>
    <t>ENTONCES el ítem queda vigente y los productos validan DNI con esos atributos</t>
  </si>
  <si>
    <t>TR-CA-061</t>
  </si>
  <si>
    <t>Eliminar ítem referenciado</t>
  </si>
  <si>
    <t>DADO QUE el ítem «Yape» de MEDIO_PAGO está usado en 1 240 pagos</t>
  </si>
  <si>
    <t>CUANDO intenta eliminarlo</t>
  </si>
  <si>
    <t>ENTONCES el sistema no lo elimina y ofrece cerrar su vigencia</t>
  </si>
  <si>
    <t>TR-CA-062</t>
  </si>
  <si>
    <t>Vigencia futura</t>
  </si>
  <si>
    <t>DADO QUE se registra el ítem «Tasa IGV reducida 10 %» con vigente_desde 01/01/2027</t>
  </si>
  <si>
    <t>CUANDO un producto consulta el catálogo el 10/10/2026</t>
  </si>
  <si>
    <t>ENTONCES el ítem no aparece en la respuesta</t>
  </si>
  <si>
    <t>TR-CA-063</t>
  </si>
  <si>
    <t>Respuesta con ítems propios y globales</t>
  </si>
  <si>
    <t>DADO QUE el tenant tiene el ítem propio «Tarjeta Diners» en MEDIO_PAGO</t>
  </si>
  <si>
    <t>CUANDO consulta MEDIO_PAGO</t>
  </si>
  <si>
    <t>ENTONCES la respuesta incluye Efectivo, Tarjeta, Yape, Plin, Transferencia y «Tarjeta Diners»</t>
  </si>
  <si>
    <t>TR-CA-064</t>
  </si>
  <si>
    <t>Sin cambios</t>
  </si>
  <si>
    <t>DADO QUE el cliente tiene el ETag vigente de UBIGEO</t>
  </si>
  <si>
    <t>CUANDO consulta con If-None-Match igual al ETag</t>
  </si>
  <si>
    <t>ENTONCES el sistema responde 304 sin cuerpo</t>
  </si>
  <si>
    <t>TR-CA-065</t>
  </si>
  <si>
    <t>Catálogo inexistente</t>
  </si>
  <si>
    <t>DADO QUE no existe el catálogo COLOR_FAVORITO</t>
  </si>
  <si>
    <t>CUANDO un producto lo consulta</t>
  </si>
  <si>
    <t>ENTONCES el sistema responde 404 con el código CATALOGO_NO_EXISTE</t>
  </si>
  <si>
    <t>TR-CA-066</t>
  </si>
  <si>
    <t>Ocultar medio de pago</t>
  </si>
  <si>
    <t>DADO QUE el gimnasio no acepta Plin</t>
  </si>
  <si>
    <t>CUANDO oculta el ítem global «Plin» de MEDIO_PAGO</t>
  </si>
  <si>
    <t>ENTONCES «Plin» deja de aparecer en el cobro del tenant y sigue visible para otros tenants</t>
  </si>
  <si>
    <t>TR-CA-067</t>
  </si>
  <si>
    <t>Catálogo normativo</t>
  </si>
  <si>
    <t>DADO QUE TIPO_COMPROBANTE es GLOBAL no editable</t>
  </si>
  <si>
    <t>CUANDO el actor intenta renombrar «Factura»</t>
  </si>
  <si>
    <t>ENTONCES el sistema no muestra opciones de personalización para ese catálogo</t>
  </si>
  <si>
    <t>TR-CA-068</t>
  </si>
  <si>
    <t>Especialidad propia</t>
  </si>
  <si>
    <t>DADO QUE el catálogo ESPECIALIDAD es MIXTO</t>
  </si>
  <si>
    <t>CUANDO la clínica registra «Terapia del lenguaje»</t>
  </si>
  <si>
    <t>ENTONCES el ítem queda visible solo para la clínica</t>
  </si>
  <si>
    <t>TR-CA-069</t>
  </si>
  <si>
    <t>Código que colisiona con global</t>
  </si>
  <si>
    <t>DADO QUE existe el ítem global «MED_GEN» en ESPECIALIDAD</t>
  </si>
  <si>
    <t>CUANDO el tenant registra un ítem con código «MED_GEN»</t>
  </si>
  <si>
    <t>ENTONCES el sistema rechaza con «El código ya existe en el catálogo»</t>
  </si>
  <si>
    <t>TR-CA-070</t>
  </si>
  <si>
    <t>DNI válido</t>
  </si>
  <si>
    <t>DADO QUE TIPO_DOC_IDENTIDAD tiene el ítem DNI vigente</t>
  </si>
  <si>
    <t>CUANDO un producto valida el código DNI</t>
  </si>
  <si>
    <t>ENTONCES el puerto responde válido con longitud 8</t>
  </si>
  <si>
    <t>TR-CA-071</t>
  </si>
  <si>
    <t>Ítem oculto por el tenant</t>
  </si>
  <si>
    <t>DADO QUE el tenant ocultó «Plin» de MEDIO_PAGO</t>
  </si>
  <si>
    <t>CUANDO un producto valida «PLIN» para ese tenant</t>
  </si>
  <si>
    <t>ENTONCES el puerto responde inválido con motivo OCULTO</t>
  </si>
  <si>
    <t>TR-CA-072</t>
  </si>
  <si>
    <t>Actualización de ubigeo</t>
  </si>
  <si>
    <t>DADO QUE UBIGEO tiene 1 874 distritos</t>
  </si>
  <si>
    <t>CUANDO importa la versión INEI con 1 892 distritos</t>
  </si>
  <si>
    <t>ENTONCES el resumen muestra 18 altas y, al confirmar, la tabla queda con 1 892 distritos vigentes</t>
  </si>
  <si>
    <t>TR-CA-073</t>
  </si>
  <si>
    <t>Archivo con columnas faltantes</t>
  </si>
  <si>
    <t>DADO QUE la plantilla de CIE10 exige codigo y descripcion</t>
  </si>
  <si>
    <t>CUANDO sube un archivo sin la columna descripcion</t>
  </si>
  <si>
    <t>ENTONCES el sistema rechaza la importación indicando la columna faltante</t>
  </si>
  <si>
    <t>TR-CA-074</t>
  </si>
  <si>
    <t>Código retirado referenciado</t>
  </si>
  <si>
    <t>DADO QUE el distrito 150199 está referenciado por 3 personas</t>
  </si>
  <si>
    <t>CUANDO la nueva versión ya no lo incluye</t>
  </si>
  <si>
    <t>ENTONCES el ítem se cierra con vigente_hasta y las 3 personas conservan su referencia</t>
  </si>
  <si>
    <t>TR-CA-075</t>
  </si>
  <si>
    <t>Plazo que cruza feriado</t>
  </si>
  <si>
    <t>DADO QUE el 08/10/2026 es feriado nacional (Combate de Angamos)</t>
  </si>
  <si>
    <t>CUANDO se suman 3 días hábiles al 07/10/2026 sin sábados hábiles</t>
  </si>
  <si>
    <t>ENTONCES el resultado es 12/10/2026</t>
  </si>
  <si>
    <t>TR-CA-076</t>
  </si>
  <si>
    <t>Feriado propio de sucursal</t>
  </si>
  <si>
    <t>DADO QUE la sucursal «Cusco» registra el 24/06/2026 como no laborable</t>
  </si>
  <si>
    <t>CUANDO se calcula un plazo para esa sucursal que incluye esa fecha</t>
  </si>
  <si>
    <t>ENTONCES el 24/06/2026 se excluye solo para «Cusco»</t>
  </si>
  <si>
    <t>TR-CA-077</t>
  </si>
  <si>
    <t>Feriado duplicado</t>
  </si>
  <si>
    <t>DADO QUE el 28/07/2026 ya está registrado como feriado nacional</t>
  </si>
  <si>
    <t>CUANDO se intenta registrarlo nuevamente</t>
  </si>
  <si>
    <t>ENTONCES el sistema rechaza con «La fecha ya está registrada como feriado»</t>
  </si>
  <si>
    <t>TR-CA-078</t>
  </si>
  <si>
    <t>Nuevo parámetro de propina</t>
  </si>
  <si>
    <t>DADO QUE el manifiesto REST 1.5.0 declara rest.propina.porcentaje NUMERO con defecto 10</t>
  </si>
  <si>
    <t>CUANDO se aplica el manifiesto</t>
  </si>
  <si>
    <t>ENTONCES la definición queda registrada con alcance máximo SUCURSAL</t>
  </si>
  <si>
    <t>TR-CA-079</t>
  </si>
  <si>
    <t>Defecto incompatible con el tipo</t>
  </si>
  <si>
    <t>DADO QUE el manifiesto declara plat.sesion.minutos_inactividad NUMERO con defecto «treinta»</t>
  </si>
  <si>
    <t>ENTONCES el sistema rechaza la definición indicando el tipo esperado</t>
  </si>
  <si>
    <t>TR-CA-080</t>
  </si>
  <si>
    <t>Propina distinta en una sucursal</t>
  </si>
  <si>
    <t>DADO QUE rest.propina.porcentaje vale 10 a nivel de tenant</t>
  </si>
  <si>
    <t>CUANDO fija 0 para la sucursal «Food court Jockey»</t>
  </si>
  <si>
    <t>ENTONCES esa sucursal resuelve 0 y las demás siguen con 10</t>
  </si>
  <si>
    <t>TR-CA-081</t>
  </si>
  <si>
    <t>Alcance más específico que el permitido</t>
  </si>
  <si>
    <t>DADO QUE plat.factura.moneda_defecto tiene alcance máximo EMPRESA</t>
  </si>
  <si>
    <t>CUANDO intenta fijar un valor a nivel de sucursal</t>
  </si>
  <si>
    <t>ENTONCES el sistema rechaza con «Este parámetro se configura como máximo a nivel de empresa»</t>
  </si>
  <si>
    <t>TR-CA-082</t>
  </si>
  <si>
    <t>Valor fuera de rango</t>
  </si>
  <si>
    <t>DADO QUE el esquema de rest.propina.porcentaje admite de 0 a 20</t>
  </si>
  <si>
    <t>CUANDO ingresa 25</t>
  </si>
  <si>
    <t>ENTONCES el sistema rechaza con «El valor debe estar entre 0 y 20»</t>
  </si>
  <si>
    <t>TR-CA-083</t>
  </si>
  <si>
    <t>Herencia desde empresa</t>
  </si>
  <si>
    <t>DADO QUE rest.propina.porcentaje vale 12 en la empresa y no tiene valor en la sucursal «Cayma»</t>
  </si>
  <si>
    <t>CUANDO se resuelve para «Cayma»</t>
  </si>
  <si>
    <t>ENTONCES el puerto devuelve 12 con origen EMPRESA</t>
  </si>
  <si>
    <t>TR-CA-084</t>
  </si>
  <si>
    <t>Sin valores configurados</t>
  </si>
  <si>
    <t>DADO QUE el tenant no configuró plat.sesion.minutos_inactividad</t>
  </si>
  <si>
    <t>CUANDO se resuelve el parámetro</t>
  </si>
  <si>
    <t>ENTONCES el puerto devuelve el valor por defecto 30 con origen DEFECTO</t>
  </si>
  <si>
    <t>TR-CA-085</t>
  </si>
  <si>
    <t>Código inexistente</t>
  </si>
  <si>
    <t>DADO QUE no existe el parámetro rest.mesa.color</t>
  </si>
  <si>
    <t>CUANDO un módulo lo solicita</t>
  </si>
  <si>
    <t>ENTONCES el puerto lanza el error PARAMETRO_NO_DEFINIDO</t>
  </si>
  <si>
    <t>TR-CA-086</t>
  </si>
  <si>
    <t>Restablecer valor de sucursal</t>
  </si>
  <si>
    <t>DADO QUE la sucursal «Food court Jockey» tiene propina 0 y el tenant 10</t>
  </si>
  <si>
    <t>CUANDO restablece el valor de la sucursal</t>
  </si>
  <si>
    <t>ENTONCES la sucursal resuelve 10 con origen TENANT</t>
  </si>
  <si>
    <t>TR-CA-087</t>
  </si>
  <si>
    <t>Restablecer valor de tenant sin otros niveles</t>
  </si>
  <si>
    <t>DADO QUE solo existe el valor del tenant</t>
  </si>
  <si>
    <t>CUANDO lo restablece</t>
  </si>
  <si>
    <t>ENTONCES el parámetro resuelve el valor por defecto con origen DEFECTO</t>
  </si>
  <si>
    <t>TR-CA-088</t>
  </si>
  <si>
    <t>Historial de IGV</t>
  </si>
  <si>
    <t>DADO QUE plat.igv.tasa cambió de 18 a 10 para la empresa «Pollería Don Lucho SAC» el 01/01/2026</t>
  </si>
  <si>
    <t>CUANDO abre el historial</t>
  </si>
  <si>
    <t>ENTONCES se muestra el cambio con valor anterior 18, nuevo 10, usuario y fecha</t>
  </si>
  <si>
    <t>TR-CA-089</t>
  </si>
  <si>
    <t>Parámetro sin cambios</t>
  </si>
  <si>
    <t>DADO QUE plat.sesion.minutos_inactividad nunca fue modificado</t>
  </si>
  <si>
    <t>ENTONCES el sistema muestra «Sin cambios; se usa el valor por defecto»</t>
  </si>
  <si>
    <t>TR-CA-090</t>
  </si>
  <si>
    <t>Serie de boletas por establecimiento</t>
  </si>
  <si>
    <t>DADO QUE la sucursal «Cayma» tiene establecimiento 0002</t>
  </si>
  <si>
    <t>CUANDO registra la serie B002 de BOLETA con reinicio NUNCA</t>
  </si>
  <si>
    <t>ENTONCES la serie B002 queda asociada a «Cayma» con último número 0</t>
  </si>
  <si>
    <t>TR-CA-091</t>
  </si>
  <si>
    <t>Serie de factura con formato inválido</t>
  </si>
  <si>
    <t>DADO QUE el actor configura una serie FACTURA</t>
  </si>
  <si>
    <t>CUANDO ingresa la serie «B001»</t>
  </si>
  <si>
    <t>ENTONCES el sistema rechaza con «Las series de factura deben iniciar con F y tener 4 caracteres»</t>
  </si>
  <si>
    <t>TR-CA-092</t>
  </si>
  <si>
    <t>Ticket con reinicio diario</t>
  </si>
  <si>
    <t>DADO QUE la unidad «Ventanilla 1» de una municipalidad existe</t>
  </si>
  <si>
    <t>CUANDO registra la serie A de TICKET con reinicio DIARIO</t>
  </si>
  <si>
    <t>ENTONCES la numeración de tickets se reiniciará cada día</t>
  </si>
  <si>
    <t>TR-CA-093</t>
  </si>
  <si>
    <t>Numeración consecutiva</t>
  </si>
  <si>
    <t>DADO QUE la serie B002 tiene último número 124</t>
  </si>
  <si>
    <t>CUANDO se emite una boleta</t>
  </si>
  <si>
    <t>ENTONCES el número asignado es B002-00000125</t>
  </si>
  <si>
    <t>TR-CA-094</t>
  </si>
  <si>
    <t>Concurrencia de 50 ventas</t>
  </si>
  <si>
    <t>DADO QUE la serie B002 tiene último número 200</t>
  </si>
  <si>
    <t>CUANDO 50 cajas solicitan número al mismo tiempo</t>
  </si>
  <si>
    <t>ENTONCES se asignan los números 201 a 250 sin duplicados ni huecos</t>
  </si>
  <si>
    <t>TR-CA-095</t>
  </si>
  <si>
    <t>Transacción revertida</t>
  </si>
  <si>
    <t>DADO QUE la serie F001 tiene último número 80</t>
  </si>
  <si>
    <t>CUANDO la venta falla después de pedir número y la transacción se revierte</t>
  </si>
  <si>
    <t>ENTONCES la siguiente venta recibe el número 81</t>
  </si>
  <si>
    <t>TR-CA-096</t>
  </si>
  <si>
    <t>Reinicio diario de tickets</t>
  </si>
  <si>
    <t>DADO QUE la serie A de tickets terminó el 09/10/2026 en 342</t>
  </si>
  <si>
    <t>CUANDO se emite el primer ticket del 10/10/2026 a las 08:01 hora de Lima</t>
  </si>
  <si>
    <t>ENTONCES el ticket recibe el número A-001</t>
  </si>
  <si>
    <t>TR-CA-097</t>
  </si>
  <si>
    <t>Cambio de día por zona horaria</t>
  </si>
  <si>
    <t>DADO QUE son las 23:30 del 09/10/2026 en Lima (04:30 UTC del 10/10)</t>
  </si>
  <si>
    <t>CUANDO se emite un ticket</t>
  </si>
  <si>
    <t>ENTONCES el ticket continúa la numeración del 09/10/2026 y no reinicia</t>
  </si>
  <si>
    <t>TR-CA-098</t>
  </si>
  <si>
    <t>Reserva de 200 números</t>
  </si>
  <si>
    <t>DADO QUE la serie B901 es la serie offline del agente de la sucursal «Huancayo»</t>
  </si>
  <si>
    <t>CUANDO el agente reserva 200 números</t>
  </si>
  <si>
    <t>ENTONCES se reserva el rango 1 a 200 a nombre del agente</t>
  </si>
  <si>
    <t>TR-CA-099</t>
  </si>
  <si>
    <t>Número fuera del rango</t>
  </si>
  <si>
    <t>DADO QUE el agente tiene reservado el rango 1 a 200</t>
  </si>
  <si>
    <t>CUANDO sincroniza un comprobante con el número 205</t>
  </si>
  <si>
    <t>ENTONCES el sistema rechaza ese comprobante y genera una alerta de numeración</t>
  </si>
  <si>
    <t>TR-CA-100</t>
  </si>
  <si>
    <t>Registro de paciente con DNI</t>
  </si>
  <si>
    <t>DADO QUE no existe en el tenant la persona con DNI 45781236</t>
  </si>
  <si>
    <t>CUANDO la recepcionista registra ese DNI</t>
  </si>
  <si>
    <t>ENTONCES el sistema prellena «Juana Quispe Mamani» desde TR-IDN y crea la persona</t>
  </si>
  <si>
    <t>TR-CA-101</t>
  </si>
  <si>
    <t>Documento ya registrado</t>
  </si>
  <si>
    <t>DADO QUE la persona con DNI 45781236 existe en el tenant</t>
  </si>
  <si>
    <t>CUANDO se intenta registrarla otra vez</t>
  </si>
  <si>
    <t>ENTONCES el sistema muestra la persona existente en lugar de crear un duplicado</t>
  </si>
  <si>
    <t>TR-CA-102</t>
  </si>
  <si>
    <t>Carné de extranjería</t>
  </si>
  <si>
    <t>DADO QUE el tipo CE no se consulta en TR-IDN</t>
  </si>
  <si>
    <t>CUANDO se registra el carné 001234567</t>
  </si>
  <si>
    <t>ENTONCES el sistema permite ingresar los nombres manualmente y crea la persona</t>
  </si>
  <si>
    <t>TR-CA-103</t>
  </si>
  <si>
    <t>Socio que también es paciente</t>
  </si>
  <si>
    <t>DADO QUE Juana Quispe es PACIENTE en CLI del tenant</t>
  </si>
  <si>
    <t>CUANDO el gimnasio del mismo tenant la registra como SOCIO</t>
  </si>
  <si>
    <t>ENTONCES Juana tiene ambos roles con una sola ficha maestra</t>
  </si>
  <si>
    <t>TR-CA-104</t>
  </si>
  <si>
    <t>Producto no suscrito</t>
  </si>
  <si>
    <t>DADO QUE el tenant no tiene ECO</t>
  </si>
  <si>
    <t>CUANDO un proceso intenta asignar el rol CLIENTE de ECO</t>
  </si>
  <si>
    <t>ENTONCES el sistema rechaza con «Producto no suscrito»</t>
  </si>
  <si>
    <t>TR-CA-105</t>
  </si>
  <si>
    <t>Dirección con ubigeo</t>
  </si>
  <si>
    <t>DADO QUE la persona Juana Quispe existe</t>
  </si>
  <si>
    <t>CUANDO registra la dirección «Av. Ejército 710» con ubigeo 040103 (Cayma)</t>
  </si>
  <si>
    <t>ENTONCES la dirección queda principal con distrito Cayma, provincia y departamento Arequipa</t>
  </si>
  <si>
    <t>TR-CA-106</t>
  </si>
  <si>
    <t>Celular inválido</t>
  </si>
  <si>
    <t>DADO QUE se agrega un celular</t>
  </si>
  <si>
    <t>CUANDO ingresa 51987654</t>
  </si>
  <si>
    <t>ENTONCES el sistema rechaza con «El celular debe tener 9 dígitos e iniciar con 9»</t>
  </si>
  <si>
    <t>TR-CA-107</t>
  </si>
  <si>
    <t>Fusión de duplicado</t>
  </si>
  <si>
    <t>DADO QUE existen «Juana Quispe Mamani» DNI 45781236 y «Juana Quispe» sin documento con el mismo celular 987654321</t>
  </si>
  <si>
    <t>CUANDO el administrador fusiona conservando la ficha con DNI</t>
  </si>
  <si>
    <t>ENTONCES queda una sola ficha y las citas de ambas aparecen bajo ella</t>
  </si>
  <si>
    <t>TR-CA-108</t>
  </si>
  <si>
    <t>Documentos distintos válidos</t>
  </si>
  <si>
    <t>DADO QUE las dos fichas tienen DNI distintos 45781236 y 45781237</t>
  </si>
  <si>
    <t>CUANDO el actor intenta fusionarlas</t>
  </si>
  <si>
    <t>ENTONCES el sistema bloquea la fusión con «Las personas tienen documentos distintos»</t>
  </si>
  <si>
    <t>TR-CA-109</t>
  </si>
  <si>
    <t>Aceptación separada</t>
  </si>
  <si>
    <t>DADO QUE el texto de PROMOCIONES versión 2026-03 está vigente</t>
  </si>
  <si>
    <t>CUANDO el socio acepta PRESTACION y rechaza PROMOCIONES</t>
  </si>
  <si>
    <t>ENTONCES se registran ambas decisiones con versión, canal y fecha</t>
  </si>
  <si>
    <t>TR-CA-110</t>
  </si>
  <si>
    <t>Revocación</t>
  </si>
  <si>
    <t>DADO QUE Juana aceptó PROMOCIONES</t>
  </si>
  <si>
    <t>CUANDO revoca el consentimiento desde el portal</t>
  </si>
  <si>
    <t>ENTONCES se publica consentimiento.revocado y deja de recibir campañas</t>
  </si>
  <si>
    <t>TR-CA-111</t>
  </si>
  <si>
    <t>Consentimiento preseleccionado</t>
  </si>
  <si>
    <t>DADO QUE el formulario muestra la casilla de PROMOCIONES</t>
  </si>
  <si>
    <t>CUANDO el producto envía la casilla marcada por defecto sin acción del titular</t>
  </si>
  <si>
    <t>ENTONCES el sistema rechaza el registro por falta de acción expresa del titular</t>
  </si>
  <si>
    <t>TR-CA-112</t>
  </si>
  <si>
    <t>RUC válido</t>
  </si>
  <si>
    <t>DADO QUE el RUC 20100070970 cumple el módulo 11</t>
  </si>
  <si>
    <t>CUANDO se valida</t>
  </si>
  <si>
    <t>ENTONCES el resultado es válido</t>
  </si>
  <si>
    <t>TR-CA-113</t>
  </si>
  <si>
    <t>Prefijo de RUC inválido</t>
  </si>
  <si>
    <t>DADO QUE se ingresa el RUC 30601234567</t>
  </si>
  <si>
    <t>ENTONCES el resultado es inválido con motivo PREFIJO</t>
  </si>
  <si>
    <t>TR-CA-114</t>
  </si>
  <si>
    <t>DNI con letras</t>
  </si>
  <si>
    <t>DADO QUE se ingresa el DNI 4578123A</t>
  </si>
  <si>
    <t>ENTONCES el resultado es inválido con motivo CARACTERES</t>
  </si>
  <si>
    <t>TR-CA-115</t>
  </si>
  <si>
    <t>Respuesta desde caché</t>
  </si>
  <si>
    <t>DADO QUE el DNI 45781236 fue consultado hace 10 días y el TTL es 30 días</t>
  </si>
  <si>
    <t>CUANDO otro tenant lo consulta</t>
  </si>
  <si>
    <t>ENTONCES se devuelve «Juana Quispe Mamani» con resultado CACHE sin descontar cuota</t>
  </si>
  <si>
    <t>TR-CA-116</t>
  </si>
  <si>
    <t>Respaldo por caída del proveedor principal</t>
  </si>
  <si>
    <t>DADO QUE el proveedor RENIEC_CONVENIO no responde en 3 s</t>
  </si>
  <si>
    <t>CUANDO se consulta el DNI 70123456</t>
  </si>
  <si>
    <t>ENTONCES el sistema obtiene los datos del proveedor de prioridad 2 y registra resultado PROVEEDOR</t>
  </si>
  <si>
    <t>TR-CA-117</t>
  </si>
  <si>
    <t>Intento de guardar dirección</t>
  </si>
  <si>
    <t>DADO QUE el proveedor devuelve además la dirección del titular</t>
  </si>
  <si>
    <t>CUANDO el sistema guarda en caché</t>
  </si>
  <si>
    <t>ENTONCES la caché almacena solo nombres y apellidos y descarta la dirección</t>
  </si>
  <si>
    <t>TR-CA-118</t>
  </si>
  <si>
    <t>Contribuyente activo y habido</t>
  </si>
  <si>
    <t>DADO QUE el RUC 20512345678 figura ACTIVO y HABIDO</t>
  </si>
  <si>
    <t>CUANDO se consulta</t>
  </si>
  <si>
    <t>ENTONCES la respuesta incluye la razón social y apto_factura = verdadero</t>
  </si>
  <si>
    <t>TR-CA-119</t>
  </si>
  <si>
    <t>Contribuyente con baja de oficio</t>
  </si>
  <si>
    <t>DADO QUE el RUC 20498765432 figura con estado BAJA DE OFICIO</t>
  </si>
  <si>
    <t>CUANDO se consulta para emitir una factura</t>
  </si>
  <si>
    <t>ENTONCES la respuesta tiene apto_factura = falso y el motivo «Estado BAJA DE OFICIO»</t>
  </si>
  <si>
    <t>TR-CA-120</t>
  </si>
  <si>
    <t>Aviso al 80 %</t>
  </si>
  <si>
    <t>DADO QUE el tenant tiene 500 consultas incluidas en 2026-10 y 399 consumidas</t>
  </si>
  <si>
    <t>CUANDO realiza la consulta 400</t>
  </si>
  <si>
    <t>ENTONCES el administrador recibe el aviso «Ha usado el 80 % de sus consultas DNI/RUC»</t>
  </si>
  <si>
    <t>TR-CA-121</t>
  </si>
  <si>
    <t>Cuota agotada</t>
  </si>
  <si>
    <t>DADO QUE el tenant consumió 500 de 500 consultas</t>
  </si>
  <si>
    <t>CUANDO consulta un DNI que no está en caché</t>
  </si>
  <si>
    <t>ENTONCES el resultado es CUOTA_AGOTADA y el formulario habilita el ingreso manual</t>
  </si>
  <si>
    <t>TR-CA-122</t>
  </si>
  <si>
    <t>Consulta desde caché con cuota agotada</t>
  </si>
  <si>
    <t>DADO QUE el tenant agotó su cuota</t>
  </si>
  <si>
    <t>CUANDO consulta un DNI vigente en caché</t>
  </si>
  <si>
    <t>ENTONCES se devuelven los datos con resultado CACHE</t>
  </si>
  <si>
    <t>TR-CA-123</t>
  </si>
  <si>
    <t>Solicitud enviada</t>
  </si>
  <si>
    <t>DADO QUE el titular con DNI 45781236 tiene identidad portable con celular verificado</t>
  </si>
  <si>
    <t>CUANDO la clínica solicita nombres, celular y contacto_emergencia con finalidad «Registro de paciente»</t>
  </si>
  <si>
    <t>ENTONCES el titular recibe un SMS con el código y el nombre de la clínica</t>
  </si>
  <si>
    <t>TR-CA-124</t>
  </si>
  <si>
    <t>Cuarta solicitud del día</t>
  </si>
  <si>
    <t>DADO QUE la clínica ya hizo 3 solicitudes hoy al mismo titular</t>
  </si>
  <si>
    <t>CUANDO intenta una cuarta</t>
  </si>
  <si>
    <t>ENTONCES el sistema rechaza con «Límite diario de solicitudes alcanzado»</t>
  </si>
  <si>
    <t>TR-CA-125</t>
  </si>
  <si>
    <t>Campo no portable</t>
  </si>
  <si>
    <t>DADO QUE el usuario selecciona el campo «diagnostico»</t>
  </si>
  <si>
    <t>CUANDO envía la solicitud</t>
  </si>
  <si>
    <t>ENTONCES el sistema rechaza el campo por no pertenecer a la lista cerrada</t>
  </si>
  <si>
    <t>TR-CA-126</t>
  </si>
  <si>
    <t>Código correcto</t>
  </si>
  <si>
    <t>DADO QUE existe una solicitud PENDIENTE de la clínica</t>
  </si>
  <si>
    <t>CUANDO el titular ingresa el código correcto</t>
  </si>
  <si>
    <t>ENTONCES se crea la autorización con vigencia de 12 meses</t>
  </si>
  <si>
    <t>TR-CA-127</t>
  </si>
  <si>
    <t>Quinto intento fallido</t>
  </si>
  <si>
    <t>DADO QUE el titular falló 4 veces</t>
  </si>
  <si>
    <t>CUANDO ingresa un código incorrecto por quinta vez</t>
  </si>
  <si>
    <t>ENTONCES la solicitud pasa a BLOQUEADA y se informa al titular</t>
  </si>
  <si>
    <t>TR-CA-128</t>
  </si>
  <si>
    <t>Código expirado</t>
  </si>
  <si>
    <t>DADO QUE la solicitud expiró hace 1 minuto</t>
  </si>
  <si>
    <t>ENTONCES el sistema responde «El código expiró» y no crea autorización</t>
  </si>
  <si>
    <t>TR-CA-129</t>
  </si>
  <si>
    <t>Lectura de campos autorizados</t>
  </si>
  <si>
    <t>DADO QUE la clínica tiene autorización vigente para nombres y celular</t>
  </si>
  <si>
    <t>CUANDO consulta los datos del titular</t>
  </si>
  <si>
    <t>ENTONCES recibe solo nombres y celular y el acceso queda registrado</t>
  </si>
  <si>
    <t>TR-CA-130</t>
  </si>
  <si>
    <t>Autorización revocada</t>
  </si>
  <si>
    <t>DADO QUE el titular revocó la autorización ayer</t>
  </si>
  <si>
    <t>CUANDO la clínica consulta sus datos</t>
  </si>
  <si>
    <t>ENTONCES el sistema responde «Sin autorización vigente» y no entrega datos</t>
  </si>
  <si>
    <t>TR-CA-131</t>
  </si>
  <si>
    <t>Revocación desde el portal</t>
  </si>
  <si>
    <t>DADO QUE el titular tiene autorizaciones con una clínica y un gimnasio</t>
  </si>
  <si>
    <t>CUANDO revoca la del gimnasio</t>
  </si>
  <si>
    <t>ENTONCES el gimnasio deja de recibir sus datos de inmediato y la clínica conserva su autorización</t>
  </si>
  <si>
    <t>TR-CA-132</t>
  </si>
  <si>
    <t>Titular sin autorizaciones</t>
  </si>
  <si>
    <t>DADO QUE el titular nunca autorizó a ningún negocio</t>
  </si>
  <si>
    <t>CUANDO abre «Mis autorizaciones»</t>
  </si>
  <si>
    <t>ENTONCES el portal muestra «No ha compartido sus datos con ningún negocio»</t>
  </si>
  <si>
    <t>TR-CA-133</t>
  </si>
  <si>
    <t>Configuración y prueba exitosa</t>
  </si>
  <si>
    <t>DADO QUE la empresa «Pollería Don Lucho SAC» tiene RUC 20601234561</t>
  </si>
  <si>
    <t>CUANDO sube un certificado vigente de ese RUC y ejecuta la prueba en beta</t>
  </si>
  <si>
    <t>ENTONCES el sistema muestra «Conexión correcta: comprobante de prueba aceptado» y habilita producción</t>
  </si>
  <si>
    <t>TR-CA-134</t>
  </si>
  <si>
    <t>Certificado de otro RUC</t>
  </si>
  <si>
    <t>DADO QUE el certificado pertenece al RUC 20512345678</t>
  </si>
  <si>
    <t>CUANDO el actor lo sube para la empresa 20601234561</t>
  </si>
  <si>
    <t>ENTONCES el sistema rechaza con «El certificado no corresponde al RUC de la empresa»</t>
  </si>
  <si>
    <t>TR-CA-135</t>
  </si>
  <si>
    <t>Certificado por vencer</t>
  </si>
  <si>
    <t>DADO QUE el certificado vence el 05/11/2026</t>
  </si>
  <si>
    <t>CUANDO el job diario se ejecuta el 06/10/2026</t>
  </si>
  <si>
    <t>ENTONCES el encargado de facturación recibe la alerta de vencimiento en 30 días</t>
  </si>
  <si>
    <t>TR-CA-136</t>
  </si>
  <si>
    <t>Factura gravada al contado</t>
  </si>
  <si>
    <t>DADO QUE la empresa tiene la serie F001 con último número 99</t>
  </si>
  <si>
    <t>CUANDO un producto emite una factura a RUC 20512345678 por 2 líneas con valor de venta S/ 100,00</t>
  </si>
  <si>
    <t>ENTONCES se registra la factura F001-00000100 con IGV S/ 18,00 y total S/ 118,00 en estado PENDIENTE_ENVIO</t>
  </si>
  <si>
    <t>TR-CA-137</t>
  </si>
  <si>
    <t>Factura a DNI</t>
  </si>
  <si>
    <t>DADO QUE el adquirente se identifica con DNI 45781236</t>
  </si>
  <si>
    <t>CUANDO el producto solicita una factura</t>
  </si>
  <si>
    <t>ENTONCES el sistema rechaza con «La factura requiere RUC del adquirente»</t>
  </si>
  <si>
    <t>TR-CA-138</t>
  </si>
  <si>
    <t>Reintento con la misma clave de idempotencia</t>
  </si>
  <si>
    <t>DADO QUE una solicitud con clave 7f3c… ya generó la factura F001-00000100</t>
  </si>
  <si>
    <t>CUANDO el producto reenvía la misma solicitud</t>
  </si>
  <si>
    <t>ENTONCES el sistema devuelve la factura existente sin generar otro número</t>
  </si>
  <si>
    <t>TR-CA-139</t>
  </si>
  <si>
    <t>Boleta a cliente varios</t>
  </si>
  <si>
    <t>DADO QUE la venta suma S/ 45,50</t>
  </si>
  <si>
    <t>CUANDO se emite sin adquirente</t>
  </si>
  <si>
    <t>ENTONCES la boleta se registra con adquirente «Clientes varios» y documento 0</t>
  </si>
  <si>
    <t>TR-CA-140</t>
  </si>
  <si>
    <t>Monto mayor a S/ 700 sin DNI</t>
  </si>
  <si>
    <t>DADO QUE la venta suma S/ 850,00</t>
  </si>
  <si>
    <t>CUANDO se solicita la boleta sin adquirente</t>
  </si>
  <si>
    <t>ENTONCES el sistema rechaza con «Boletas mayores a S/ 700,00 requieren documento y nombre del adquirente»</t>
  </si>
  <si>
    <t>TR-CA-141</t>
  </si>
  <si>
    <t>Monto exactamente S/ 700,00</t>
  </si>
  <si>
    <t>DADO QUE la venta suma S/ 700,00</t>
  </si>
  <si>
    <t>ENTONCES la boleta se emite sin exigir documento</t>
  </si>
  <si>
    <t>TR-CA-142</t>
  </si>
  <si>
    <t>Anulación de la operación</t>
  </si>
  <si>
    <t>DADO QUE la factura F001-00000100 por S/ 118,00 está aceptada</t>
  </si>
  <si>
    <t>CUANDO se emite una nota de crédito tipo 01 «Anulación de la operación»</t>
  </si>
  <si>
    <t>ENTONCES la nota se registra por S/ 118,00 y el saldo de la factura queda en S/ 0,00</t>
  </si>
  <si>
    <t>TR-CA-143</t>
  </si>
  <si>
    <t>Monto mayor al saldo</t>
  </si>
  <si>
    <t>DADO QUE la factura tiene saldo S/ 18,00 tras una nota parcial</t>
  </si>
  <si>
    <t>CUANDO se emite una nota de crédito por S/ 50,00</t>
  </si>
  <si>
    <t>ENTONCES el sistema rechaza con «El monto supera el saldo disponible del comprobante (S/ 18,00)»</t>
  </si>
  <si>
    <t>TR-CA-144</t>
  </si>
  <si>
    <t>Intereses por mora</t>
  </si>
  <si>
    <t>DADO QUE la factura F001-00000080 al crédito venció hace 30 días</t>
  </si>
  <si>
    <t>CUANDO se emite una nota de débito tipo 01 por intereses de S/ 25,00</t>
  </si>
  <si>
    <t>ENTONCES la nota se registra vinculada a la factura con IGV calculado</t>
  </si>
  <si>
    <t>TR-CA-145</t>
  </si>
  <si>
    <t>Comprobante rechazado</t>
  </si>
  <si>
    <t>DADO QUE la factura F001-00000081 fue rechazada por SUNAT</t>
  </si>
  <si>
    <t>CUANDO se intenta emitir una nota de débito sobre ella</t>
  </si>
  <si>
    <t>ENTONCES el sistema rechaza con «Solo se emiten notas sobre comprobantes aceptados»</t>
  </si>
  <si>
    <t>TR-CA-146</t>
  </si>
  <si>
    <t>Resumen aceptado</t>
  </si>
  <si>
    <t>DADO QUE la empresa emitió 320 boletas en modo resumen el 09/10/2026</t>
  </si>
  <si>
    <t>CUANDO el job envía el resumen a las 23:00</t>
  </si>
  <si>
    <t>ENTONCES el resumen se acepta y las 320 boletas pasan a ACEPTADO</t>
  </si>
  <si>
    <t>TR-CA-147</t>
  </si>
  <si>
    <t>Resumen rechazado</t>
  </si>
  <si>
    <t>DADO QUE el resumen incluye una boleta con total negativo</t>
  </si>
  <si>
    <t>CUANDO el PSE/OSE devuelve rechazo</t>
  </si>
  <si>
    <t>ENTONCES el resumen queda RECHAZADO, se identifica la boleta con error y se alerta al encargado de facturación</t>
  </si>
  <si>
    <t>TR-CA-148</t>
  </si>
  <si>
    <t>Baja de factura dentro de plazo</t>
  </si>
  <si>
    <t>DADO QUE la factura F001-00000102 fue emitida ayer por error de RUC</t>
  </si>
  <si>
    <t>CUANDO el encargado comunica la baja con motivo «Error en RUC del adquirente»</t>
  </si>
  <si>
    <t>ENTONCES la factura queda ANULADA tras aceptarse la comunicación</t>
  </si>
  <si>
    <t>TR-CA-149</t>
  </si>
  <si>
    <t>Fuera de plazo</t>
  </si>
  <si>
    <t>DADO QUE la factura fue emitida fuera del plazo permitido para la baja</t>
  </si>
  <si>
    <t>CUANDO el encargado intenta comunicar la baja</t>
  </si>
  <si>
    <t>ENTONCES el sistema rechaza y sugiere emitir una nota de crédito tipo 01</t>
  </si>
  <si>
    <t>TR-CA-150</t>
  </si>
  <si>
    <t>Aceptado</t>
  </si>
  <si>
    <t>DADO QUE la boleta B002-00000125 está en PENDIENTE_ENVIO</t>
  </si>
  <si>
    <t>CUANDO el OSE responde código 0</t>
  </si>
  <si>
    <t>ENTONCES la boleta pasa a ACEPTADO, se guarda el CDR y se publica cpe.aceptado</t>
  </si>
  <si>
    <t>TR-CA-151</t>
  </si>
  <si>
    <t>Rechazado por error de validación</t>
  </si>
  <si>
    <t>DADO QUE la factura tiene un código de unidad inexistente</t>
  </si>
  <si>
    <t>CUANDO el OSE responde rechazo</t>
  </si>
  <si>
    <t>ENTONCES la factura pasa a RECHAZADO con el código y descripción del error y se publica cpe.rechazado</t>
  </si>
  <si>
    <t>TR-CA-152</t>
  </si>
  <si>
    <t>Aceptado con observaciones</t>
  </si>
  <si>
    <t>DADO QUE la factura tiene una observación no bloqueante</t>
  </si>
  <si>
    <t>CUANDO el OSE responde aceptación con observaciones</t>
  </si>
  <si>
    <t>ENTONCES la factura queda ACEPTADO_CON_OBSERVACIONES mostrando la observación</t>
  </si>
  <si>
    <t>TR-CA-153</t>
  </si>
  <si>
    <t>Recuperación tras caída</t>
  </si>
  <si>
    <t>DADO QUE el OSE estuvo caído 2 horas y hay 140 comprobantes en cola</t>
  </si>
  <si>
    <t>CUANDO el OSE vuelve a responder</t>
  </si>
  <si>
    <t>ENTONCES los 140 comprobantes se envían y obtienen su estado final</t>
  </si>
  <si>
    <t>TR-CA-154</t>
  </si>
  <si>
    <t>Comprobante cerca del vencimiento</t>
  </si>
  <si>
    <t>DADO QUE una factura lleva casi todo su plazo sin poder enviarse</t>
  </si>
  <si>
    <t>CUANDO faltan 24 horas para su vencimiento</t>
  </si>
  <si>
    <t>ENTONCES se crea una alerta CRITICA y un ticket P2 para el tenant</t>
  </si>
  <si>
    <t>TR-CA-155</t>
  </si>
  <si>
    <t>Ticket de 80 mm</t>
  </si>
  <si>
    <t>DADO QUE la boleta B002-00000125 fue registrada</t>
  </si>
  <si>
    <t>CUANDO se solicita el formato TICKET80</t>
  </si>
  <si>
    <t>ENTONCES el agente local imprime el ticket con logo, totales y QR</t>
  </si>
  <si>
    <t>TR-CA-156</t>
  </si>
  <si>
    <t>Comprobante sin logo configurado</t>
  </si>
  <si>
    <t>DADO QUE la empresa no subió logo</t>
  </si>
  <si>
    <t>CUANDO se genera el PDF A4</t>
  </si>
  <si>
    <t>ENTONCES el PDF se genera con el nombre comercial en lugar del logo</t>
  </si>
  <si>
    <t>TR-CA-157</t>
  </si>
  <si>
    <t>Envío por correo</t>
  </si>
  <si>
    <t>DADO QUE la factura F001-00000100 fue aceptada y el adquirente tiene correo contabilidad@andina.pe</t>
  </si>
  <si>
    <t>CUANDO se publica cpe.aceptado</t>
  </si>
  <si>
    <t>ENTONCES el adquirente recibe el correo con PDF y XML</t>
  </si>
  <si>
    <t>TR-CA-158</t>
  </si>
  <si>
    <t>Consulta pública con total incorrecto</t>
  </si>
  <si>
    <t>DADO QUE existe la boleta B002-00000125 por S/ 45,50</t>
  </si>
  <si>
    <t>CUANDO un visitante consulta con total S/ 45,00</t>
  </si>
  <si>
    <t>ENTONCES la página responde «No se encontró el comprobante con los datos ingresados»</t>
  </si>
  <si>
    <t>TR-CA-159</t>
  </si>
  <si>
    <t>Filtro de rechazados</t>
  </si>
  <si>
    <t>DADO QUE existen 3 comprobantes rechazados en la semana</t>
  </si>
  <si>
    <t>CUANDO el encargado filtra por RECHAZADO</t>
  </si>
  <si>
    <t>ENTONCES se listan los 3 con su código y descripción de error</t>
  </si>
  <si>
    <t>TR-CA-160</t>
  </si>
  <si>
    <t>Reenvío de rechazado por validación</t>
  </si>
  <si>
    <t>DADO QUE una factura está RECHAZADA por error de datos</t>
  </si>
  <si>
    <t>CUANDO el encargado intenta reenviarla</t>
  </si>
  <si>
    <t>ENTONCES el sistema indica «Un comprobante rechazado no se reenvía; emita uno nuevo corregido»</t>
  </si>
  <si>
    <t>TR-CA-161</t>
  </si>
  <si>
    <t>Registro de septiembre</t>
  </si>
  <si>
    <t>DADO QUE la empresa emitió 2 450 comprobantes en 2026-09</t>
  </si>
  <si>
    <t>CUANDO genera el registro de ventas</t>
  </si>
  <si>
    <t>ENTONCES se descarga el archivo con 2 450 filas y totales que cuadran con el tablero</t>
  </si>
  <si>
    <t>TR-CA-162</t>
  </si>
  <si>
    <t>Periodo sin comprobantes</t>
  </si>
  <si>
    <t>DADO QUE la empresa no emitió comprobantes en 2026-08</t>
  </si>
  <si>
    <t>CUANDO genera el registro</t>
  </si>
  <si>
    <t>ENTONCES el sistema genera el archivo vacío con la indicación «Sin operaciones»</t>
  </si>
  <si>
    <t>TR-CA-163</t>
  </si>
  <si>
    <t>Configuración en pruebas</t>
  </si>
  <si>
    <t>DADO QUE la empresa «Gym Fuerza Total SAC» no tiene pasarela</t>
  </si>
  <si>
    <t>CUANDO configura la pasarela con medios TARJETA y YAPE en PRUEBAS</t>
  </si>
  <si>
    <t>ENTONCES la transacción de prueba de S/ 1,00 se aprueba y la pasarela queda activa</t>
  </si>
  <si>
    <t>TR-CA-164</t>
  </si>
  <si>
    <t>Llave privada inválida</t>
  </si>
  <si>
    <t>DADO QUE el actor ingresa una llave privada revocada</t>
  </si>
  <si>
    <t>CUANDO guarda la configuración</t>
  </si>
  <si>
    <t>ENTONCES la transacción de prueba falla y el sistema muestra «Credenciales rechazadas por la pasarela» sin activar la configuración</t>
  </si>
  <si>
    <t>TR-CA-165</t>
  </si>
  <si>
    <t>Cobro de pedido web</t>
  </si>
  <si>
    <t>DADO QUE el pedido web ECO-2026-001245 suma S/ 189,90</t>
  </si>
  <si>
    <t>CUANDO el producto crea la intención de cobro</t>
  </si>
  <si>
    <t>ENTONCES se registra el pago PENDIENTE y el checkout muestra el formulario de la pasarela</t>
  </si>
  <si>
    <t>TR-CA-166</t>
  </si>
  <si>
    <t>Monto con 3 decimales</t>
  </si>
  <si>
    <t>DADO QUE el producto envía el monto 189,905</t>
  </si>
  <si>
    <t>CUANDO crea la intención</t>
  </si>
  <si>
    <t>ENTONCES el sistema rechaza con «El monto debe tener como máximo 2 decimales»</t>
  </si>
  <si>
    <t>TR-CA-167</t>
  </si>
  <si>
    <t>Intención duplicada</t>
  </si>
  <si>
    <t>DADO QUE ya existe una intención con la misma clave de idempotencia</t>
  </si>
  <si>
    <t>CUANDO el producto la reenvía</t>
  </si>
  <si>
    <t>ENTONCES el sistema devuelve la intención existente</t>
  </si>
  <si>
    <t>TR-CA-168</t>
  </si>
  <si>
    <t>Pago con QR Yape</t>
  </si>
  <si>
    <t>DADO QUE el recepcionista cobra S/ 120,00 de membresía con Yape</t>
  </si>
  <si>
    <t>CUANDO el socio escanea el QR y paga</t>
  </si>
  <si>
    <t>ENTONCES el pago queda CONFIRMADO y el producto recibe pago.confirmado</t>
  </si>
  <si>
    <t>TR-CA-169</t>
  </si>
  <si>
    <t>QR expirado</t>
  </si>
  <si>
    <t>DADO QUE se generó el QR hace 5 minutos sin pago</t>
  </si>
  <si>
    <t>CUANDO el socio intenta pagar</t>
  </si>
  <si>
    <t>ENTONCES la solicitud está EXPIRADA y el producto ofrece generar un nuevo QR</t>
  </si>
  <si>
    <t>TR-CA-170</t>
  </si>
  <si>
    <t>Link de adelanto de consulta</t>
  </si>
  <si>
    <t>DADO QUE el estudio cobra S/ 300,00 de adelanto</t>
  </si>
  <si>
    <t>CUANDO genera un link con vencimiento de 48 horas y lo envía por WhatsApp</t>
  </si>
  <si>
    <t>ENTONCES el cliente recibe el link y al pagar el pago queda CONFIRMADO</t>
  </si>
  <si>
    <t>TR-CA-171</t>
  </si>
  <si>
    <t>Vencimiento mayor a 30 días</t>
  </si>
  <si>
    <t>DADO QUE el actor genera un link</t>
  </si>
  <si>
    <t>CUANDO indica vencimiento a 45 días</t>
  </si>
  <si>
    <t>ENTONCES el sistema rechaza con «El vencimiento máximo es 30 días»</t>
  </si>
  <si>
    <t>TR-CA-172</t>
  </si>
  <si>
    <t>Webhook de aprobación</t>
  </si>
  <si>
    <t>DADO QUE el pago del pedido ECO-2026-001245 está PENDIENTE</t>
  </si>
  <si>
    <t>CUANDO llega un webhook válido de aprobación</t>
  </si>
  <si>
    <t>ENTONCES el pago pasa a CONFIRMADO y se publica pago.confirmado</t>
  </si>
  <si>
    <t>TR-CA-173</t>
  </si>
  <si>
    <t>Firma inválida</t>
  </si>
  <si>
    <t>DADO QUE un tercero envía un webhook con firma alterada</t>
  </si>
  <si>
    <t>CUANDO el sistema lo recibe</t>
  </si>
  <si>
    <t>ENTONCES responde 401, no modifica el pago y registra el intento en seguridad</t>
  </si>
  <si>
    <t>TR-CA-174</t>
  </si>
  <si>
    <t>Webhook repetido</t>
  </si>
  <si>
    <t>DADO QUE el webhook de aprobación ya fue procesado</t>
  </si>
  <si>
    <t>CUANDO la pasarela lo reenvía</t>
  </si>
  <si>
    <t>ENTONCES el sistema responde 200 sin publicar un segundo evento</t>
  </si>
  <si>
    <t>TR-CA-175</t>
  </si>
  <si>
    <t>Reembolso parcial</t>
  </si>
  <si>
    <t>DADO QUE el pago de S/ 189,90 está confirmado</t>
  </si>
  <si>
    <t>CUANDO se reembolsan S/ 40,00 por producto faltante</t>
  </si>
  <si>
    <t>ENTONCES el reembolso se confirma y el saldo reembolsable queda en S/ 149,90</t>
  </si>
  <si>
    <t>TR-CA-176</t>
  </si>
  <si>
    <t>DADO QUE el pago tiene saldo reembolsable S/ 149,90</t>
  </si>
  <si>
    <t>CUANDO se intenta reembolsar S/ 200,00</t>
  </si>
  <si>
    <t>ENTONCES el sistema rechaza con «El monto supera el saldo reembolsable»</t>
  </si>
  <si>
    <t>TR-CA-177</t>
  </si>
  <si>
    <t>Cargo mensual exitoso</t>
  </si>
  <si>
    <t>DADO QUE el socio tiene cobro recurrente de S/ 99,00 el día 5</t>
  </si>
  <si>
    <t>CUANDO el planificador se ejecuta el 05/11/2026</t>
  </si>
  <si>
    <t>ENTONCES se cobra S/ 99,00 y el socio recibe la confirmación</t>
  </si>
  <si>
    <t>TR-CA-178</t>
  </si>
  <si>
    <t>Tercer rechazo</t>
  </si>
  <si>
    <t>DADO QUE el cargo fue rechazado el 5 y reintentado el 6 y el 8</t>
  </si>
  <si>
    <t>CUANDO el reintento del día 10 se rechaza</t>
  </si>
  <si>
    <t>ENTONCES se publica cobro_recurrente.fallido y el socio recibe el aviso</t>
  </si>
  <si>
    <t>TR-CA-179</t>
  </si>
  <si>
    <t>Día conciliado sin diferencias</t>
  </si>
  <si>
    <t>DADO QUE el 09/10/2026 hubo 85 pagos confirmados</t>
  </si>
  <si>
    <t>CUANDO se concilia la liquidación con 85 transacciones</t>
  </si>
  <si>
    <t>ENTONCES las 85 quedan CONCILIADO y el resumen muestra diferencia S/ 0,00</t>
  </si>
  <si>
    <t>TR-CA-180</t>
  </si>
  <si>
    <t>Transacción no registrada</t>
  </si>
  <si>
    <t>DADO QUE la liquidación incluye una transacción que no existe en la plataforma</t>
  </si>
  <si>
    <t>CUANDO se concilia</t>
  </si>
  <si>
    <t>ENTONCES la transacción queda NO_REGISTRADO y se alerta al encargado de facturación</t>
  </si>
  <si>
    <t>TR-CA-181</t>
  </si>
  <si>
    <t>Comisión distinta a la pactada</t>
  </si>
  <si>
    <t>DADO QUE la comisión pactada es 3,44 % y la cobrada en una transacción es 4,20 %</t>
  </si>
  <si>
    <t>ENTONCES esa transacción queda OBSERVADO con la diferencia calculada</t>
  </si>
  <si>
    <t>TR-CA-182</t>
  </si>
  <si>
    <t>Cargo con excedente de mensajes</t>
  </si>
  <si>
    <t>DADO QUE el tenant tiene REST plan PRO de S/ 149,00 y excedió 300 mensajes WhatsApp</t>
  </si>
  <si>
    <t>CUANDO se genera el cargo de 2026-10</t>
  </si>
  <si>
    <t>ENTONCES la factura incluye el plan y el excedente de mensajes y se cobra con su tarjeta registrada</t>
  </si>
  <si>
    <t>TR-CA-183</t>
  </si>
  <si>
    <t>Cobro rechazado</t>
  </si>
  <si>
    <t>DADO QUE la tarjeta del tenant es rechazada</t>
  </si>
  <si>
    <t>CUANDO se ejecuta el cobro</t>
  </si>
  <si>
    <t>ENTONCES el cargo queda PENDIENTE y se envía un link de pago al propietario</t>
  </si>
  <si>
    <t>TR-CA-184</t>
  </si>
  <si>
    <t>Personalizar recordatorio</t>
  </si>
  <si>
    <t>DADO QUE existe la plantilla base CITA_RECORDATORIO</t>
  </si>
  <si>
    <t>CUANDO el tenant edita el texto agregando la dirección de su sucursal</t>
  </si>
  <si>
    <t>ENTONCES la versión personalizada se usa en los próximos recordatorios del tenant</t>
  </si>
  <si>
    <t>TR-CA-185</t>
  </si>
  <si>
    <t>Variable no declarada</t>
  </si>
  <si>
    <t>DADO QUE CITA_RECORDATORIO declara nombre, fecha y profesional</t>
  </si>
  <si>
    <t>CUANDO el actor usa {{diagnostico}}</t>
  </si>
  <si>
    <t>ENTONCES el sistema rechaza con «Variable no permitida: diagnostico»</t>
  </si>
  <si>
    <t>TR-CA-186</t>
  </si>
  <si>
    <t>SMS excede 160 caracteres</t>
  </si>
  <si>
    <t>DADO QUE el actor edita la plantilla SMS</t>
  </si>
  <si>
    <t>CUANDO escribe un texto de 175 caracteres</t>
  </si>
  <si>
    <t>ENTONCES el sistema advierte que se enviarán 2 segmentos y muestra el costo estimado</t>
  </si>
  <si>
    <t>TR-CA-187</t>
  </si>
  <si>
    <t>Confirmación de cita por WhatsApp</t>
  </si>
  <si>
    <t>DADO QUE el paciente tiene WhatsApp como canal preferido</t>
  </si>
  <si>
    <t>CUANDO PSI envía CITA_CONFIRMADA</t>
  </si>
  <si>
    <t>ENTONCES el mensaje se entrega al proveedor en menos de 30 segundos</t>
  </si>
  <si>
    <t>TR-CA-188</t>
  </si>
  <si>
    <t>Promoción sin consentimiento</t>
  </si>
  <si>
    <t>DADO QUE la persona no aceptó la finalidad PROMOCIONES</t>
  </si>
  <si>
    <t>CUANDO un producto envía una campaña promocional</t>
  </si>
  <si>
    <t>ENTONCES el sistema no envía el mensaje y lo registra como OMITIDO_SIN_CONSENTIMIENTO</t>
  </si>
  <si>
    <t>TR-CA-189</t>
  </si>
  <si>
    <t>Promoción fuera de horario</t>
  </si>
  <si>
    <t>DADO QUE son las 21:30 hora de Lima</t>
  </si>
  <si>
    <t>CUANDO se solicita un envío promocional</t>
  </si>
  <si>
    <t>ENTONCES el sistema lo programa para las 08:00 del día siguiente</t>
  </si>
  <si>
    <t>TR-CA-190</t>
  </si>
  <si>
    <t>Recordatorio 24 h antes</t>
  </si>
  <si>
    <t>DADO QUE existe una cita el 12/10/2026 a las 10:00</t>
  </si>
  <si>
    <t>CUANDO PSI programa el recordatorio para el 11/10/2026 a las 10:00</t>
  </si>
  <si>
    <t>ENTONCES el paciente recibe el recordatorio a esa hora</t>
  </si>
  <si>
    <t>TR-CA-191</t>
  </si>
  <si>
    <t>Cancelación por anulación de cita</t>
  </si>
  <si>
    <t>DADO QUE existe un recordatorio programado para la cita CIT-8821</t>
  </si>
  <si>
    <t>CUANDO la cita se anula</t>
  </si>
  <si>
    <t>ENTONCES el recordatorio se cancela y no se envía</t>
  </si>
  <si>
    <t>TR-CA-192</t>
  </si>
  <si>
    <t>Fecha en el pasado</t>
  </si>
  <si>
    <t>DADO QUE son las 10:00 del 10/10/2026</t>
  </si>
  <si>
    <t>CUANDO un módulo programa un envío para las 09:00 del mismo día</t>
  </si>
  <si>
    <t>ENTONCES el sistema rechaza con «La fecha de envío debe ser futura»</t>
  </si>
  <si>
    <t>TR-CA-193</t>
  </si>
  <si>
    <t>Baja de promociones por correo</t>
  </si>
  <si>
    <t>DADO QUE Juana recibe campañas por correo</t>
  </si>
  <si>
    <t>CUANDO hace clic en «Darme de baja» del pie del correo</t>
  </si>
  <si>
    <t>ENTONCES deja de recibir promociones por correo y sigue recibiendo recordatorios de citas</t>
  </si>
  <si>
    <t>TR-CA-194</t>
  </si>
  <si>
    <t>Enlace manipulado</t>
  </si>
  <si>
    <t>DADO QUE un enlace de preferencias tiene el token alterado</t>
  </si>
  <si>
    <t>CUANDO se abre</t>
  </si>
  <si>
    <t>ENTONCES el sistema responde «Enlace inválido o vencido» sin mostrar datos</t>
  </si>
  <si>
    <t>TR-CA-195</t>
  </si>
  <si>
    <t>Plantilla aprobada fuera de ventana</t>
  </si>
  <si>
    <t>DADO QUE el cliente no escribe hace 3 días y la plantilla PEDIDO_LISTO está APROBADA</t>
  </si>
  <si>
    <t>CUANDO REST envía PEDIDO_LISTO por WhatsApp</t>
  </si>
  <si>
    <t>ENTONCES el mensaje se entrega con la plantilla aprobada</t>
  </si>
  <si>
    <t>TR-CA-196</t>
  </si>
  <si>
    <t>Plantilla rechazada</t>
  </si>
  <si>
    <t>DADO QUE la plantilla PROMO_DIA fue RECHAZADA por Meta</t>
  </si>
  <si>
    <t>CUANDO se intenta enviar fuera de la ventana</t>
  </si>
  <si>
    <t>ENTONCES el sistema no la envía por WhatsApp y usa el canal alterno configurado</t>
  </si>
  <si>
    <t>TR-CA-197</t>
  </si>
  <si>
    <t>Entrega confirmada</t>
  </si>
  <si>
    <t>DADO QUE se envió un SMS de recordatorio</t>
  </si>
  <si>
    <t>CUANDO el proveedor informa ENTREGADO</t>
  </si>
  <si>
    <t>ENTONCES el mensaje queda ENTREGADO con la hora de entrega</t>
  </si>
  <si>
    <t>TR-CA-198</t>
  </si>
  <si>
    <t>Rebote duro de correo</t>
  </si>
  <si>
    <t>DADO QUE el correo juana.q@correo-inexistente.pe rebota</t>
  </si>
  <si>
    <t>CUANDO el proveedor informa el rebote</t>
  </si>
  <si>
    <t>ENTONCES el sistema envía por SMS y marca el correo como inválido en la ficha de la persona</t>
  </si>
  <si>
    <t>TR-CA-199</t>
  </si>
  <si>
    <t>Carga de PDF de consentimiento</t>
  </si>
  <si>
    <t>DADO QUE la clínica adjunta un PDF de 1,2 MB al paciente</t>
  </si>
  <si>
    <t>CUANDO sube el archivo</t>
  </si>
  <si>
    <t>ENTONCES el archivo queda DISPONIBLE con su hash y asociado al paciente</t>
  </si>
  <si>
    <t>TR-CA-200</t>
  </si>
  <si>
    <t>Tipo no permitido</t>
  </si>
  <si>
    <t>DADO QUE la categoría DOCUMENTO permite PDF, DOCX y JPG</t>
  </si>
  <si>
    <t>CUANDO se sube un archivo .exe renombrado a .pdf</t>
  </si>
  <si>
    <t>ENTONCES el sistema detecta el tipo real y rechaza el archivo</t>
  </si>
  <si>
    <t>TR-CA-201</t>
  </si>
  <si>
    <t>Archivo infectado</t>
  </si>
  <si>
    <t>DADO QUE se sube un archivo con la firma de prueba EICAR</t>
  </si>
  <si>
    <t>CUANDO termina el análisis</t>
  </si>
  <si>
    <t>ENTONCES el archivo queda en CUARENTENA y no se puede descargar</t>
  </si>
  <si>
    <t>TR-CA-202</t>
  </si>
  <si>
    <t>Nueva versión de contrato</t>
  </si>
  <si>
    <t>DADO QUE el contrato del caso LEX-2026-045 está en versión 2</t>
  </si>
  <si>
    <t>CUANDO el abogado sube la versión corregida</t>
  </si>
  <si>
    <t>ENTONCES el contrato queda en versión 3 y las versiones 1 y 2 siguen disponibles</t>
  </si>
  <si>
    <t>TR-CA-203</t>
  </si>
  <si>
    <t>Versión idéntica</t>
  </si>
  <si>
    <t>DADO QUE la versión 3 tiene hash a1b2…</t>
  </si>
  <si>
    <t>CUANDO se sube un archivo con el mismo hash</t>
  </si>
  <si>
    <t>ENTONCES el sistema informa «El archivo es idéntico a la versión vigente» y no crea versión</t>
  </si>
  <si>
    <t>TR-CA-204</t>
  </si>
  <si>
    <t>Descarga autorizada</t>
  </si>
  <si>
    <t>DADO QUE el psicólogo tiene permiso sobre la historia del paciente</t>
  </si>
  <si>
    <t>CUANDO descarga el informe adjunto</t>
  </si>
  <si>
    <t>ENTONCES recibe una URL firmada válida por 15 minutos y el acceso se registra</t>
  </si>
  <si>
    <t>TR-CA-205</t>
  </si>
  <si>
    <t>Archivo de otro tenant</t>
  </si>
  <si>
    <t>DADO QUE el usuario pertenece al tenant A</t>
  </si>
  <si>
    <t>CUANDO solicita un archivo del tenant B</t>
  </si>
  <si>
    <t>ENTONCES el sistema responde 404 sin revelar la existencia del archivo</t>
  </si>
  <si>
    <t>TR-CA-206</t>
  </si>
  <si>
    <t>URL vencida</t>
  </si>
  <si>
    <t>DADO QUE la URL se generó hace 16 minutos</t>
  </si>
  <si>
    <t>CUANDO el usuario la abre</t>
  </si>
  <si>
    <t>ENTONCES el almacenamiento responde acceso expirado</t>
  </si>
  <si>
    <t>TR-CA-207</t>
  </si>
  <si>
    <t>Eliminación por retención vencida</t>
  </si>
  <si>
    <t>DADO QUE la categoría ADJUNTO_SOPORTE tiene retención de 2 años</t>
  </si>
  <si>
    <t>CUANDO el job encuentra adjuntos de octubre de 2024</t>
  </si>
  <si>
    <t>ENTONCES los elimina del almacenamiento y conserva sus metadatos</t>
  </si>
  <si>
    <t>TR-CA-208</t>
  </si>
  <si>
    <t>Archivo con bloqueo legal</t>
  </si>
  <si>
    <t>DADO QUE un adjunto vencido tiene bloqueo legal por un proceso judicial</t>
  </si>
  <si>
    <t>CUANDO se ejecuta el job</t>
  </si>
  <si>
    <t>ENTONCES el archivo no se elimina</t>
  </si>
  <si>
    <t>TR-CA-209</t>
  </si>
  <si>
    <t>Auditoría de anulación</t>
  </si>
  <si>
    <t>DADO QUE la cajera anula la venta V-000981</t>
  </si>
  <si>
    <t>CUANDO se confirma la transacción</t>
  </si>
  <si>
    <t>ENTONCES se registra el evento con la venta antes y después, el motivo y el hash encadenado</t>
  </si>
  <si>
    <t>TR-CA-210</t>
  </si>
  <si>
    <t>Intento de modificación</t>
  </si>
  <si>
    <t>DADO QUE existe un registro de auditoría</t>
  </si>
  <si>
    <t>CUANDO un usuario con rol de plataforma ejecuta UPDATE sobre él</t>
  </si>
  <si>
    <t>ENTONCES la base de datos rechaza la operación</t>
  </si>
  <si>
    <t>TR-CA-211</t>
  </si>
  <si>
    <t>Lectura de historia clínica</t>
  </si>
  <si>
    <t>DADO QUE un médico abre la historia del paciente con DNI 45781236</t>
  </si>
  <si>
    <t>CUANDO se muestra la historia</t>
  </si>
  <si>
    <t>ENTONCES se registra el acceso con usuario, finalidad ATENCION y fecha</t>
  </si>
  <si>
    <t>TR-CA-212</t>
  </si>
  <si>
    <t>Acceso de soporte</t>
  </si>
  <si>
    <t>DADO QUE un agente con acceso temporal abre un expediente</t>
  </si>
  <si>
    <t>CUANDO se muestra el expediente</t>
  </si>
  <si>
    <t>ENTONCES el acceso se registra con finalidad SOPORTE y el número de ticket</t>
  </si>
  <si>
    <t>TR-CA-213</t>
  </si>
  <si>
    <t>Anulaciones de una cajera</t>
  </si>
  <si>
    <t>DADO QUE existen 7 anulaciones de la cajera Rosa en octubre</t>
  </si>
  <si>
    <t>CUANDO el administrador filtra por usuario Rosa y acción rest.venta.anular</t>
  </si>
  <si>
    <t>ENTONCES se muestran las 7 anulaciones con motivo y montos</t>
  </si>
  <si>
    <t>TR-CA-214</t>
  </si>
  <si>
    <t>Alcance de sucursal</t>
  </si>
  <si>
    <t>DADO QUE el supervisor tiene alcance solo en la sucursal «Surco»</t>
  </si>
  <si>
    <t>CUANDO consulta la auditoría</t>
  </si>
  <si>
    <t>ENTONCES solo ve los eventos de «Surco»</t>
  </si>
  <si>
    <t>TR-CA-215</t>
  </si>
  <si>
    <t>Cadena íntegra</t>
  </si>
  <si>
    <t>DADO QUE el tenant registró 4 200 eventos el 09/10/2026</t>
  </si>
  <si>
    <t>CUANDO se ejecuta la verificación</t>
  </si>
  <si>
    <t>ENTONCES el resultado es INTEGRO con 4 200 registros verificados</t>
  </si>
  <si>
    <t>TR-CA-216</t>
  </si>
  <si>
    <t>Registro alterado</t>
  </si>
  <si>
    <t>DADO QUE un registro fue modificado directamente en la base de pruebas</t>
  </si>
  <si>
    <t>ENTONCES el resultado es ROTO indicando el primer registro alterado y se abre una alerta CRITICA</t>
  </si>
  <si>
    <t>TR-CA-217</t>
  </si>
  <si>
    <t>Solicitud de acceso desde el portal</t>
  </si>
  <si>
    <t>DADO QUE Juana Quispe inició sesión en el portal de la clínica</t>
  </si>
  <si>
    <t>CUANDO presenta una solicitud de ACCESO el 12/10/2026</t>
  </si>
  <si>
    <t>ENTONCES recibe la constancia ARCO-2026-00012 con vencimiento a 20 días hábiles</t>
  </si>
  <si>
    <t>TR-CA-218</t>
  </si>
  <si>
    <t>Sin documento de identidad</t>
  </si>
  <si>
    <t>DADO QUE una persona presenta una solicitud por el portal sin sesión verificada</t>
  </si>
  <si>
    <t>CUANDO no adjunta su documento</t>
  </si>
  <si>
    <t>ENTONCES el sistema no registra la solicitud y pide acreditar identidad</t>
  </si>
  <si>
    <t>TR-CA-219</t>
  </si>
  <si>
    <t>Acceso atendido</t>
  </si>
  <si>
    <t>DADO QUE la solicitud ARCO-2026-00012 de acceso está en el día 8 de 20</t>
  </si>
  <si>
    <t>CUANDO el responsable responde con el compilado de datos de CLI y PSI</t>
  </si>
  <si>
    <t>ENTONCES la solicitud queda RESPONDIDA y el titular recibe el compilado</t>
  </si>
  <si>
    <t>TR-CA-220</t>
  </si>
  <si>
    <t>Alerta al 80 % del plazo</t>
  </si>
  <si>
    <t>DADO QUE la solicitud de rectificación lleva 8 de 10 días hábiles sin respuesta</t>
  </si>
  <si>
    <t>CUANDO se ejecuta el control diario</t>
  </si>
  <si>
    <t>ENTONCES el responsable recibe la alerta «Solicitud ARCO por vencer en 2 días hábiles»</t>
  </si>
  <si>
    <t>TR-CA-221</t>
  </si>
  <si>
    <t>Cancelación de socio</t>
  </si>
  <si>
    <t>DADO QUE el exsocio solicitó cancelar sus datos y no tiene deudas</t>
  </si>
  <si>
    <t>CUANDO el responsable ejecuta la cancelación</t>
  </si>
  <si>
    <t>ENTONCES sus datos de contacto quedan anonimizados en GYM y sus boletas se conservan bloqueadas</t>
  </si>
  <si>
    <t>TR-CA-222</t>
  </si>
  <si>
    <t>Producto sin confirmar</t>
  </si>
  <si>
    <t>DADO QUE CLI no confirmó la anonimización en 24 horas</t>
  </si>
  <si>
    <t>CUANDO se revisa la ejecución</t>
  </si>
  <si>
    <t>ENTONCES la solicitud queda EN_EJECUCION con alerta para el responsable</t>
  </si>
  <si>
    <t>TR-CA-223</t>
  </si>
  <si>
    <t>Notificación en plazo</t>
  </si>
  <si>
    <t>DADO QUE se conoce un incidente el 10/10/2026 a las 09:00</t>
  </si>
  <si>
    <t>CUANDO el responsable registra la notificación a la ANPD el 11/10/2026 a las 15:00</t>
  </si>
  <si>
    <t>ENTONCES el incidente queda NOTIFICADO dentro del plazo</t>
  </si>
  <si>
    <t>TR-CA-224</t>
  </si>
  <si>
    <t>Plazo por vencer</t>
  </si>
  <si>
    <t>DADO QUE el incidente lleva 40 horas sin notificar</t>
  </si>
  <si>
    <t>CUANDO se ejecuta el control</t>
  </si>
  <si>
    <t>ENTONCES los responsables reciben la alerta CRITICA «Quedan 8 horas para notificar a la ANPD»</t>
  </si>
  <si>
    <t>TR-CA-225</t>
  </si>
  <si>
    <t>Evento con la venta</t>
  </si>
  <si>
    <t>DADO QUE una caja registra la venta V-001200</t>
  </si>
  <si>
    <t>CUANDO la transacción se confirma</t>
  </si>
  <si>
    <t>ENTONCES existe en el outbox el evento venta.registrada con la versión del agregado</t>
  </si>
  <si>
    <t>TR-CA-226</t>
  </si>
  <si>
    <t>DADO QUE una venta falla al validar stock después de publicar</t>
  </si>
  <si>
    <t>CUANDO la transacción se revierte</t>
  </si>
  <si>
    <t>ENTONCES no existe ningún evento venta.registrada para esa venta</t>
  </si>
  <si>
    <t>TR-CA-227</t>
  </si>
  <si>
    <t>Payload fuera de esquema</t>
  </si>
  <si>
    <t>DADO QUE el esquema de cita.creada exige fecha_hora</t>
  </si>
  <si>
    <t>CUANDO un módulo publica el evento sin fecha_hora</t>
  </si>
  <si>
    <t>ENTONCES el sistema lanza error de validación y la transacción no se confirma</t>
  </si>
  <si>
    <t>TR-CA-228</t>
  </si>
  <si>
    <t>Entrega a dos consumidores</t>
  </si>
  <si>
    <t>DADO QUE TR-OBS y TR-NOT están suscritos a cita.creada</t>
  </si>
  <si>
    <t>CUANDO se publica una cita.creada</t>
  </si>
  <si>
    <t>ENTONCES ambos consumidores la procesan una sola vez</t>
  </si>
  <si>
    <t>TR-CA-229</t>
  </si>
  <si>
    <t>Entrega duplicada</t>
  </si>
  <si>
    <t>DADO QUE un worker se reinició tras procesar el evento sin confirmar</t>
  </si>
  <si>
    <t>CUANDO el evento se entrega de nuevo</t>
  </si>
  <si>
    <t>ENTONCES el consumidor detecta el event_id procesado y no duplica el efecto</t>
  </si>
  <si>
    <t>TR-CA-230</t>
  </si>
  <si>
    <t>Transacción confirmada fuera de orden</t>
  </si>
  <si>
    <t>DADO QUE el evento con seq 1001 se confirmó 2 s después del 1002</t>
  </si>
  <si>
    <t>CUANDO el despachador lee con margen de 5 s</t>
  </si>
  <si>
    <t>ENTONCES ambos eventos se entregan sin saltar el 1001</t>
  </si>
  <si>
    <t>TR-CA-231</t>
  </si>
  <si>
    <t>Nueva versión compatible</t>
  </si>
  <si>
    <t>DADO QUE cita.creada v1 tiene fecha_hora y profesional_id</t>
  </si>
  <si>
    <t>CUANDO se registra la v2 agregando el campo opcional modalidad</t>
  </si>
  <si>
    <t>ENTONCES la v2 queda registrada como compatible</t>
  </si>
  <si>
    <t>TR-CA-232</t>
  </si>
  <si>
    <t>Versión incompatible</t>
  </si>
  <si>
    <t>DADO QUE cita.creada v2 tiene el campo obligatorio profesional_id</t>
  </si>
  <si>
    <t>CUANDO se registra una v3 que elimina profesional_id</t>
  </si>
  <si>
    <t>ENTONCES el sistema rechaza el esquema por romper compatibilidad</t>
  </si>
  <si>
    <t>TR-CA-233</t>
  </si>
  <si>
    <t>Reproceso tras corrección</t>
  </si>
  <si>
    <t>DADO QUE 12 eventos cpe.aceptado fallaron en el consumidor de ECO por un error ya corregido</t>
  </si>
  <si>
    <t>CUANDO el administrador los reprocesa en lote</t>
  </si>
  <si>
    <t>ENTONCES los 12 eventos se procesan y salen de la cola de fallidos</t>
  </si>
  <si>
    <t>TR-CA-234</t>
  </si>
  <si>
    <t>Reproceso de evento ya procesado</t>
  </si>
  <si>
    <t>DADO QUE un evento fallido fue procesado por otra vía</t>
  </si>
  <si>
    <t>CUANDO se reprocesa</t>
  </si>
  <si>
    <t>ENTONCES el consumidor lo reconoce por event_id y lo marca procesado sin duplicar efectos</t>
  </si>
  <si>
    <t>TR-CA-235</t>
  </si>
  <si>
    <t>Reporte de ventas por plato</t>
  </si>
  <si>
    <t>DADO QUE el manifiesto REST declara rest.ventas_por_plato</t>
  </si>
  <si>
    <t>ENTONCES el reporte aparece para los usuarios con permiso rest.reporte.ventas</t>
  </si>
  <si>
    <t>TR-CA-236</t>
  </si>
  <si>
    <t>Consulta sin filtro de tenant</t>
  </si>
  <si>
    <t>DADO QUE la consulta de un reporte no usa el parámetro :tenant_id</t>
  </si>
  <si>
    <t>ENTONCES el sistema rechaza la definición por no garantizar el aislamiento</t>
  </si>
  <si>
    <t>TR-CA-237</t>
  </si>
  <si>
    <t>Exportación a Excel</t>
  </si>
  <si>
    <t>DADO QUE el administrador ejecuta rest.ventas_por_plato de septiembre con 1 200 filas</t>
  </si>
  <si>
    <t>CUANDO exporta a XLSX</t>
  </si>
  <si>
    <t>ENTONCES se descarga el archivo con las 1 200 filas y totales</t>
  </si>
  <si>
    <t>TR-CA-238</t>
  </si>
  <si>
    <t>Reporte grande en segundo plano</t>
  </si>
  <si>
    <t>DADO QUE el reporte de ventas del año tiene 250 000 filas</t>
  </si>
  <si>
    <t>CUANDO el usuario lo ejecuta</t>
  </si>
  <si>
    <t>ENTONCES el sistema lo procesa en segundo plano y notifica cuando el archivo está listo</t>
  </si>
  <si>
    <t>TR-CA-239</t>
  </si>
  <si>
    <t>Exportación de datos personales sin permiso</t>
  </si>
  <si>
    <t>DADO QUE el reporte de pacientes contiene datos personales y el usuario no tiene el permiso de exportación</t>
  </si>
  <si>
    <t>CUANDO intenta exportarlo</t>
  </si>
  <si>
    <t>ENTONCES el sistema bloquea la exportación y permite solo la vista en pantalla</t>
  </si>
  <si>
    <t>TR-CA-240</t>
  </si>
  <si>
    <t>Cierre diario por correo</t>
  </si>
  <si>
    <t>DADO QUE el dueño programa el reporte de ventas del día anterior a las 07:00</t>
  </si>
  <si>
    <t>CUANDO llega la hora</t>
  </si>
  <si>
    <t>ENTONCES el dueño recibe el correo con el Excel de ventas de ayer</t>
  </si>
  <si>
    <t>TR-CA-241</t>
  </si>
  <si>
    <t>Destinatario sin permiso</t>
  </si>
  <si>
    <t>DADO QUE el usuario Diego no tiene permiso del reporte</t>
  </si>
  <si>
    <t>CUANDO se intenta agregarlo como destinatario</t>
  </si>
  <si>
    <t>ENTONCES el sistema rechaza con «Diego no tiene permiso para este reporte»</t>
  </si>
  <si>
    <t>TR-CA-242</t>
  </si>
  <si>
    <t>Tablero del dueño</t>
  </si>
  <si>
    <t>DADO QUE el dueño tiene alcance TENANT</t>
  </si>
  <si>
    <t>CUANDO abre el tablero de gestión</t>
  </si>
  <si>
    <t>ENTONCES ve ventas, ticket promedio y comprobantes de todas las sucursales</t>
  </si>
  <si>
    <t>TR-CA-243</t>
  </si>
  <si>
    <t>Widget sin permiso</t>
  </si>
  <si>
    <t>DADO QUE el cajero no tiene permiso rest.reporte.margen</t>
  </si>
  <si>
    <t>CUANDO abre su tablero</t>
  </si>
  <si>
    <t>ENTONCES el widget de margen no se muestra</t>
  </si>
  <si>
    <t>TR-CA-244</t>
  </si>
  <si>
    <t>Clasificación con modelo principal</t>
  </si>
  <si>
    <t>DADO QUE el caso doc.clasificar_documento está configurado</t>
  </si>
  <si>
    <t>CUANDO DocuFlujo envía un documento para clasificar</t>
  </si>
  <si>
    <t>ENTONCES la pasarela devuelve la clasificación y registra tokens y costo</t>
  </si>
  <si>
    <t>TR-CA-245</t>
  </si>
  <si>
    <t>Falla del proveedor principal</t>
  </si>
  <si>
    <t>DADO QUE el proveedor principal responde error 503</t>
  </si>
  <si>
    <t>CUANDO se invoca un caso de uso</t>
  </si>
  <si>
    <t>ENTONCES la pasarela responde con el modelo de respaldo e indica el modelo usado</t>
  </si>
  <si>
    <t>TR-CA-246</t>
  </si>
  <si>
    <t>Caso de uso no registrado</t>
  </si>
  <si>
    <t>DADO QUE no existe el caso rest.poema_del_dia</t>
  </si>
  <si>
    <t>CUANDO un módulo lo invoca</t>
  </si>
  <si>
    <t>ENTONCES la pasarela rechaza con CASO_USO_NO_REGISTRADO</t>
  </si>
  <si>
    <t>TR-CA-247</t>
  </si>
  <si>
    <t>Enmascaramiento de DNI y nombre</t>
  </si>
  <si>
    <t>DADO QUE el texto contiene «Juana Quispe, DNI 45781236, celular 987654321»</t>
  </si>
  <si>
    <t>CUANDO se envía a resumir</t>
  </si>
  <si>
    <t>ENTONCES el proveedor recibe «[NOMBRE_1], DNI [DNI_1], celular [TEL_1]»</t>
  </si>
  <si>
    <t>TR-CA-248</t>
  </si>
  <si>
    <t>Número que no es DNI</t>
  </si>
  <si>
    <t>DADO QUE el texto contiene «Pedido 12345678 de 3 unidades»</t>
  </si>
  <si>
    <t>CUANDO se enmascara</t>
  </si>
  <si>
    <t>ENTONCES el número se enmascara por precaución como [NUM_1] y se restituye en la respuesta</t>
  </si>
  <si>
    <t>TR-CA-249</t>
  </si>
  <si>
    <t>Factura de proveedor</t>
  </si>
  <si>
    <t>DADO QUE LibroPOS sube la factura PDF de su distribuidor</t>
  </si>
  <si>
    <t>CUANDO solicita la extracción</t>
  </si>
  <si>
    <t>ENTONCES se obtienen RUC, serie, número, fecha, líneas y totales con su confianza</t>
  </si>
  <si>
    <t>TR-CA-250</t>
  </si>
  <si>
    <t>Campo con baja confianza</t>
  </si>
  <si>
    <t>DADO QUE el total extraído tiene confianza 0,62</t>
  </si>
  <si>
    <t>CUANDO el usuario revisa</t>
  </si>
  <si>
    <t>ENTONCES el campo se muestra resaltado y no se registra hasta que el usuario lo confirme o corrija</t>
  </si>
  <si>
    <t>TR-CA-251</t>
  </si>
  <si>
    <t>Respuesta del TUPA</t>
  </si>
  <si>
    <t>DADO QUE la municipalidad indexó su TUPA 2026</t>
  </si>
  <si>
    <t>CUANDO un ciudadano pregunta «¿Qué necesito para licencia de funcionamiento?»</t>
  </si>
  <si>
    <t>ENTONCES la respuesta lista los requisitos y cita la página del TUPA</t>
  </si>
  <si>
    <t>TR-CA-252</t>
  </si>
  <si>
    <t>Pregunta sin sustento</t>
  </si>
  <si>
    <t>DADO QUE la base del gimnasio no tiene información de estacionamiento</t>
  </si>
  <si>
    <t>CUANDO un socio pregunta por el estacionamiento</t>
  </si>
  <si>
    <t>ENTONCES el asistente responde «No tengo esa información» y ofrece contactar al personal</t>
  </si>
  <si>
    <t>TR-CA-253</t>
  </si>
  <si>
    <t>Aislamiento entre tenants</t>
  </si>
  <si>
    <t>DADO QUE el tenant A indexó su reglamento</t>
  </si>
  <si>
    <t>CUANDO un usuario del tenant B hace una pregunta similar</t>
  </si>
  <si>
    <t>ENTONCES la búsqueda no devuelve fragmentos del tenant A</t>
  </si>
  <si>
    <t>TR-CA-254</t>
  </si>
  <si>
    <t>DADO QUE el tenant tiene límite de USD 20,00 y lleva USD 16,10</t>
  </si>
  <si>
    <t>CUANDO se registra una nueva invocación</t>
  </si>
  <si>
    <t>ENTONCES el administrador recibe el aviso del 80 % del consumo de IA</t>
  </si>
  <si>
    <t>TR-CA-255</t>
  </si>
  <si>
    <t>Corte al 100 %</t>
  </si>
  <si>
    <t>DADO QUE el tenant alcanzó su límite con política CORTE</t>
  </si>
  <si>
    <t>CUANDO un producto invoca el copiloto analítico</t>
  </si>
  <si>
    <t>ENTONCES la pasarela responde LIMITE_IA_ALCANZADO y el producto muestra el mensaje correspondiente</t>
  </si>
  <si>
    <t>TR-CA-256</t>
  </si>
  <si>
    <t>Pedido confirmado por WhatsApp</t>
  </si>
  <si>
    <t>DADO QUE el cliente escribe «Quiero 2 ceviches y una chicha para llevar»</t>
  </si>
  <si>
    <t>CUANDO el agente muestra el resumen con total S/ 74,00 y el cliente responde «Sí, confirmo»</t>
  </si>
  <si>
    <t>ENTONCES se crea el pedido y el cliente recibe el número y el link de pago</t>
  </si>
  <si>
    <t>TR-CA-257</t>
  </si>
  <si>
    <t>Acción sin confirmación</t>
  </si>
  <si>
    <t>DADO QUE el agente propuso un pedido</t>
  </si>
  <si>
    <t>CUANDO el cliente responde «mmm no sé»</t>
  </si>
  <si>
    <t>ENTONCES el agente no crea el pedido y pregunta nuevamente</t>
  </si>
  <si>
    <t>TR-CA-258</t>
  </si>
  <si>
    <t>Derivación a persona</t>
  </si>
  <si>
    <t>DADO QUE el agente no entendió dos mensajes seguidos</t>
  </si>
  <si>
    <t>CUANDO el cliente escribe un tercer mensaje ambiguo</t>
  </si>
  <si>
    <t>ENTONCES la conversación pasa a DERIVADA y un usuario del tenant recibe la notificación</t>
  </si>
  <si>
    <t>TR-CA-259</t>
  </si>
  <si>
    <t>Pedidos por minuto</t>
  </si>
  <si>
    <t>DADO QUE rest.pedidos se alimenta de pedido.creado</t>
  </si>
  <si>
    <t>CUANDO llegan 3 eventos pedido.creado de la sucursal «Cayma» en el minuto 12:31</t>
  </si>
  <si>
    <t>ENTONCES la métrica del minuto 12:31 registra suma 3 y conteo 3</t>
  </si>
  <si>
    <t>TR-CA-260</t>
  </si>
  <si>
    <t>Evento reprocesado</t>
  </si>
  <si>
    <t>DADO QUE el evento pedido.creado e-55 ya fue contabilizado</t>
  </si>
  <si>
    <t>CUANDO el despachador lo entrega de nuevo</t>
  </si>
  <si>
    <t>ENTONCES el consumidor lo descarta por event_id y la métrica no se incrementa</t>
  </si>
  <si>
    <t>TR-CA-261</t>
  </si>
  <si>
    <t>Regla de caída de pedidos</t>
  </si>
  <si>
    <t>DADO QUE existe el indicador rest.pedidos</t>
  </si>
  <si>
    <t>CUANDO el administrador crea la regla CAIDA_PCT 60 % en ventana de 30 min con base mínima 10 y severidad ALTA</t>
  </si>
  <si>
    <t>ENTONCES la regla queda activa para todos los tenants con REST</t>
  </si>
  <si>
    <t>TR-CA-262</t>
  </si>
  <si>
    <t>Umbral faltante</t>
  </si>
  <si>
    <t>DADO QUE el actor elige la condición UMBRAL_MAYOR</t>
  </si>
  <si>
    <t>CUANDO guarda sin umbral</t>
  </si>
  <si>
    <t>ENTONCES el sistema rechaza con «El umbral es obligatorio para esta condición»</t>
  </si>
  <si>
    <t>TR-CA-263</t>
  </si>
  <si>
    <t>Sin comprobantes en hora pico</t>
  </si>
  <si>
    <t>DADO QUE la regla SIN_DATOS de cpe.emitidos con ventana de 60 min está activa</t>
  </si>
  <si>
    <t>CUANDO la sucursal «Cayma» no emite comprobantes de 12:00 a 13:00 de un sábado</t>
  </si>
  <si>
    <t>ENTONCES se abre una alerta ALTA para «Cayma» y se crea el ticket automático</t>
  </si>
  <si>
    <t>TR-CA-264</t>
  </si>
  <si>
    <t>Base insuficiente</t>
  </si>
  <si>
    <t>DADO QUE la regla CAIDA_PCT tiene base mínima 10 y la línea base de la sucursal es 4</t>
  </si>
  <si>
    <t>CUANDO el valor actual es 0</t>
  </si>
  <si>
    <t>ENTONCES la regla no abre alerta</t>
  </si>
  <si>
    <t>TR-CA-265</t>
  </si>
  <si>
    <t>Resolución automática</t>
  </si>
  <si>
    <t>DADO QUE existe una alerta abierta de caída de pedidos</t>
  </si>
  <si>
    <t>CUANDO los pedidos vuelven al nivel de la línea base</t>
  </si>
  <si>
    <t>ENTONCES la alerta pasa a RESUELTA con la hora de resolución</t>
  </si>
  <si>
    <t>TR-CA-266</t>
  </si>
  <si>
    <t>Sucursal en rojo</t>
  </si>
  <si>
    <t>DADO QUE la sucursal «Huancayo» tiene una alerta CRITICA abierta</t>
  </si>
  <si>
    <t>CUANDO el administrador abre el tablero</t>
  </si>
  <si>
    <t>ENTONCES la sucursal aparece en rojo con el detalle de la alerta</t>
  </si>
  <si>
    <t>TR-CA-267</t>
  </si>
  <si>
    <t>Sucursal sin eventos recientes y sin reglas</t>
  </si>
  <si>
    <t>DADO QUE una sucursal nueva no tiene eventos ni reglas</t>
  </si>
  <si>
    <t>CUANDO se abre el tablero</t>
  </si>
  <si>
    <t>ENTONCES la sucursal aparece en gris con el texto «Sin actividad registrada»</t>
  </si>
  <si>
    <t>TR-CA-268</t>
  </si>
  <si>
    <t>Reconocimiento por el dueño</t>
  </si>
  <si>
    <t>DADO QUE el dueño ve la alerta «Sin pedidos en 30 min» de su sucursal</t>
  </si>
  <si>
    <t>CUANDO la reconoce con el comentario «Local cerrado por inventario»</t>
  </si>
  <si>
    <t>ENTONCES la alerta queda RECONOCIDA y no se repiten notificaciones</t>
  </si>
  <si>
    <t>TR-CA-269</t>
  </si>
  <si>
    <t>Alerta de otro tenant</t>
  </si>
  <si>
    <t>DADO QUE el administrador pertenece al tenant A</t>
  </si>
  <si>
    <t>CUANDO intenta reconocer una alerta del tenant B</t>
  </si>
  <si>
    <t>ENTONCES el sistema responde 404</t>
  </si>
  <si>
    <t>TR-CA-270</t>
  </si>
  <si>
    <t>Incidente P1 de plan PRO</t>
  </si>
  <si>
    <t>DADO QUE el tenant tiene plan PRO</t>
  </si>
  <si>
    <t>CUANDO la cajera reporta «No imprime boletas» con impacto 1 y urgencia 1</t>
  </si>
  <si>
    <t>ENTONCES se crea el ticket SOP-000301 con prioridad P1 y vencimientos según la política PRO-P1</t>
  </si>
  <si>
    <t>TR-CA-271</t>
  </si>
  <si>
    <t>Contexto con DNI</t>
  </si>
  <si>
    <t>DADO QUE el contexto capturado incluye la clave dni</t>
  </si>
  <si>
    <t>CUANDO se crea el ticket</t>
  </si>
  <si>
    <t>ENTONCES el sistema elimina la clave dni antes de guardar y el ticket se registra</t>
  </si>
  <si>
    <t>TR-CA-272</t>
  </si>
  <si>
    <t>Consulta resuelta por artículo sugerido</t>
  </si>
  <si>
    <t>DADO QUE el widget sugiere el artículo «Cómo reimprimir una boleta»</t>
  </si>
  <si>
    <t>CUANDO el usuario marca «Esto resolvió mi duda»</t>
  </si>
  <si>
    <t>ENTONCES no se crea ticket y el artículo suma un voto útil</t>
  </si>
  <si>
    <t>TR-CA-273</t>
  </si>
  <si>
    <t>Ticket por alerta crítica</t>
  </si>
  <si>
    <t>DADO QUE se abre una alerta CRITICA de emisión de comprobantes</t>
  </si>
  <si>
    <t>CUANDO se ejecuta la creación automática</t>
  </si>
  <si>
    <t>ENTONCES se crea un ticket P1 con canal ALERTA vinculado a la alerta</t>
  </si>
  <si>
    <t>TR-CA-274</t>
  </si>
  <si>
    <t>Alerta ya con ticket</t>
  </si>
  <si>
    <t>DADO QUE la alerta ya generó el ticket SOP-000310</t>
  </si>
  <si>
    <t>CUANDO se invoca nuevamente la creación</t>
  </si>
  <si>
    <t>ENTONCES no se crea otro ticket y se devuelve SOP-000310</t>
  </si>
  <si>
    <t>TR-CA-275</t>
  </si>
  <si>
    <t>Ticket por vencer resaltado</t>
  </si>
  <si>
    <t>DADO QUE un ticket P2 vence su primera respuesta en 20 minutos</t>
  </si>
  <si>
    <t>CUANDO el agente abre la bandeja</t>
  </si>
  <si>
    <t>ENTONCES el ticket aparece primero en ámbar con el tiempo restante</t>
  </si>
  <si>
    <t>TR-CA-276</t>
  </si>
  <si>
    <t>Asignación a usuario sin rol</t>
  </si>
  <si>
    <t>DADO QUE el usuario Pedro no tiene rol de soporte</t>
  </si>
  <si>
    <t>CUANDO se intenta asignarle un ticket</t>
  </si>
  <si>
    <t>ENTONCES el sistema rechaza con «El usuario no es agente de soporte»</t>
  </si>
  <si>
    <t>TR-CA-277</t>
  </si>
  <si>
    <t>Reanudación tras espera del cliente</t>
  </si>
  <si>
    <t>DADO QUE el ticket SOP-000301 vencía su resolución a las 16:00 y está en ESPERA_CLIENTE desde las 12:00</t>
  </si>
  <si>
    <t>CUANDO el cliente responde a las 14:00</t>
  </si>
  <si>
    <t>ENTONCES el ticket vuelve a EN_ANALISIS y su vencimiento de resolución pasa a las 18:00</t>
  </si>
  <si>
    <t>TR-CA-278</t>
  </si>
  <si>
    <t>DADO QUE el ticket está NUEVO</t>
  </si>
  <si>
    <t>CUANDO el agente intenta pasarlo a CERRADO</t>
  </si>
  <si>
    <t>ENTONCES el sistema rechaza con «Transición no permitida: NUEVO → CERRADO»</t>
  </si>
  <si>
    <t>TR-CA-279</t>
  </si>
  <si>
    <t>Reapertura por el cliente</t>
  </si>
  <si>
    <t>DADO QUE el ticket está RESUELTO</t>
  </si>
  <si>
    <t>CUANDO el cliente indica que el problema persiste</t>
  </si>
  <si>
    <t>ENTONCES el ticket pasa a REABIERTO</t>
  </si>
  <si>
    <t>TR-CA-280</t>
  </si>
  <si>
    <t>Primera respuesta en plazo</t>
  </si>
  <si>
    <t>DADO QUE el ticket P2 vence su primera respuesta a las 10:30</t>
  </si>
  <si>
    <t>CUANDO el agente responde públicamente a las 10:05</t>
  </si>
  <si>
    <t>ENTONCES se registra primera_respuesta_en 10:05 y el SLA de respuesta queda cumplido</t>
  </si>
  <si>
    <t>TR-CA-281</t>
  </si>
  <si>
    <t>Nota interna marcada visible</t>
  </si>
  <si>
    <t>DADO QUE el agente redacta una nota interna</t>
  </si>
  <si>
    <t>CUANDO intenta marcarla como visible al cliente</t>
  </si>
  <si>
    <t>ENTONCES el sistema impide la combinación y la guarda como no visible</t>
  </si>
  <si>
    <t>TR-CA-282</t>
  </si>
  <si>
    <t>Cliente consulta el ticket</t>
  </si>
  <si>
    <t>DADO QUE el ticket tiene 2 comentarios públicos y 1 nota interna</t>
  </si>
  <si>
    <t>CUANDO el cliente abre su ticket</t>
  </si>
  <si>
    <t>ENTONCES solo ve los 2 comentarios públicos</t>
  </si>
  <si>
    <t>TR-CA-283</t>
  </si>
  <si>
    <t>Problema con tres tickets</t>
  </si>
  <si>
    <t>DADO QUE tres tenants reportan «PDF de boleta sin QR»</t>
  </si>
  <si>
    <t>CUANDO el agente N2 crea el problema y lo vincula a los tres tickets</t>
  </si>
  <si>
    <t>ENTONCES se crea el issue en GitHub y los tres tickets muestran el problema vinculado</t>
  </si>
  <si>
    <t>TR-CA-284</t>
  </si>
  <si>
    <t>Fallo de GitHub</t>
  </si>
  <si>
    <t>DADO QUE la API de GitHub no responde</t>
  </si>
  <si>
    <t>CUANDO el agente crea el problema</t>
  </si>
  <si>
    <t>ENTONCES el problema se guarda sin issue y queda marcado «Issue pendiente de crear» con reintento</t>
  </si>
  <si>
    <t>TR-CA-285</t>
  </si>
  <si>
    <t>Corrección publicada</t>
  </si>
  <si>
    <t>DADO QUE el problema «PDF de boleta sin QR» tiene 3 tickets abiertos</t>
  </si>
  <si>
    <t>CUANDO el agente lo resuelve con la versión 2.3.1</t>
  </si>
  <si>
    <t>ENTONCES los 3 tickets pasan a RESUELTO y cada cliente recibe el aviso con la versión</t>
  </si>
  <si>
    <t>TR-CA-286</t>
  </si>
  <si>
    <t>Ticket ya cerrado en el problema</t>
  </si>
  <si>
    <t>DADO QUE uno de los tickets vinculados ya está CERRADO</t>
  </si>
  <si>
    <t>CUANDO se resuelve el problema</t>
  </si>
  <si>
    <t>ENTONCES solo se resuelven los tickets abiertos y el cerrado no cambia</t>
  </si>
  <si>
    <t>TR-CA-287</t>
  </si>
  <si>
    <t>Sugerencia relevante</t>
  </si>
  <si>
    <t>DADO QUE existe el artículo publicado «Configurar impresora térmica»</t>
  </si>
  <si>
    <t>CUANDO un usuario escribe «la ticketera no imprime»</t>
  </si>
  <si>
    <t>ENTONCES el widget sugiere ese artículo entre los 3 primeros</t>
  </si>
  <si>
    <t>TR-CA-288</t>
  </si>
  <si>
    <t>Artículo no publicado</t>
  </si>
  <si>
    <t>DADO QUE el artículo «Nueva función de propinas» está en borrador</t>
  </si>
  <si>
    <t>CUANDO un usuario busca «propinas»</t>
  </si>
  <si>
    <t>ENTONCES el artículo no se sugiere</t>
  </si>
  <si>
    <t>TR-CA-289</t>
  </si>
  <si>
    <t>Subdominio inmediato</t>
  </si>
  <si>
    <t>DADO QUE la pollería no tiene sitio configurado</t>
  </si>
  <si>
    <t>CUANDO elige el subdominio «donlucho»</t>
  </si>
  <si>
    <t>ENTONCES el sitio queda disponible en donlucho.sazonpos.pe con certificado válido</t>
  </si>
  <si>
    <t>TR-CA-290</t>
  </si>
  <si>
    <t>Dominio sin verificar</t>
  </si>
  <si>
    <t>DADO QUE el cliente ingresó www.polleriadonlucho.pe y no creó el CNAME</t>
  </si>
  <si>
    <t>CUANDO intenta activar el dominio</t>
  </si>
  <si>
    <t>ENTONCES el sistema mantiene el estado PENDIENTE_DNS y muestra el registro a crear</t>
  </si>
  <si>
    <t>TR-CA-291</t>
  </si>
  <si>
    <t>Subdominio ocupado</t>
  </si>
  <si>
    <t>DADO QUE el subdominio «donlucho» ya pertenece a otro tenant</t>
  </si>
  <si>
    <t>CUANDO otro cliente lo solicita</t>
  </si>
  <si>
    <t>ENTONCES el sistema rechaza con «El subdominio no está disponible»</t>
  </si>
  <si>
    <t>TR-CA-292</t>
  </si>
  <si>
    <t>Página de nosotros</t>
  </si>
  <si>
    <t>DADO QUE el sitio de la clínica está activo</t>
  </si>
  <si>
    <t>CUANDO el editor publica la página «Nuestros especialistas» con slug «especialistas»</t>
  </si>
  <si>
    <t>ENTONCES la página es visible en /especialistas en menos de 60 segundos</t>
  </si>
  <si>
    <t>TR-CA-293</t>
  </si>
  <si>
    <t>Slug repetido</t>
  </si>
  <si>
    <t>DADO QUE existe la página con slug «contacto»</t>
  </si>
  <si>
    <t>CUANDO el editor crea otra con el mismo slug</t>
  </si>
  <si>
    <t>ENTONCES el sistema rechaza con «El slug ya está en uso en este sitio»</t>
  </si>
  <si>
    <t>TR-CA-294</t>
  </si>
  <si>
    <t>Bloque dinámico del producto</t>
  </si>
  <si>
    <t>DADO QUE REST provee el bloque dinámico «Carta del día»</t>
  </si>
  <si>
    <t>CUANDO el editor lo agrega a la portada y publica</t>
  </si>
  <si>
    <t>ENTONCES la portada muestra la carta vigente obtenida del producto al renderizar</t>
  </si>
  <si>
    <t>TR-CA-295</t>
  </si>
  <si>
    <t>Banner de campaña con vigencia</t>
  </si>
  <si>
    <t>DADO QUE el gimnasio prepara la campaña «Verano 2027»</t>
  </si>
  <si>
    <t>CUANDO publica un banner vigente del 01/12/2026 al 28/02/2027</t>
  </si>
  <si>
    <t>ENTONCES el banner aparece solo en ese rango de fechas</t>
  </si>
  <si>
    <t>TR-CA-296</t>
  </si>
  <si>
    <t>Imagen sin texto alternativo</t>
  </si>
  <si>
    <t>DADO QUE el editor sube una foto a la galería</t>
  </si>
  <si>
    <t>CUANDO intenta publicar sin texto alternativo</t>
  </si>
  <si>
    <t>ENTONCES el sistema exige el texto alternativo antes de publicar</t>
  </si>
  <si>
    <t>TR-CA-297</t>
  </si>
  <si>
    <t>Publicación programada</t>
  </si>
  <si>
    <t>DADO QUE el editor programa la noticia «Nuevo horario de atención» para el 15/10/2026 a las 08:00</t>
  </si>
  <si>
    <t>CUANDO llega esa hora</t>
  </si>
  <si>
    <t>ENTONCES la noticia se publica y aparece primera en el listado</t>
  </si>
  <si>
    <t>TR-CA-298</t>
  </si>
  <si>
    <t>Programación en el pasado</t>
  </si>
  <si>
    <t>CUANDO el editor programa la noticia para las 09:00 del mismo día</t>
  </si>
  <si>
    <t>ENTONCES el sistema rechaza con «La fecha de publicación debe ser futura» y ofrece publicar ahora</t>
  </si>
  <si>
    <t>TR-CA-299</t>
  </si>
  <si>
    <t>Sitemap actualizado</t>
  </si>
  <si>
    <t>DADO QUE el sitio tiene 8 páginas indexables</t>
  </si>
  <si>
    <t>CUANDO el editor publica una novena</t>
  </si>
  <si>
    <t>ENTONCES sitemap.xml lista las 9 páginas con su fecha de modificación</t>
  </si>
  <si>
    <t>TR-CA-300</t>
  </si>
  <si>
    <t>Descripción demasiado larga</t>
  </si>
  <si>
    <t>DADO QUE el editor escribe una descripción SEO de 190 caracteres</t>
  </si>
  <si>
    <t>CUANDO guarda la página</t>
  </si>
  <si>
    <t>ENTONCES el sistema advierte que se mostrarán solo los primeros 160 caracteres y permite guardar</t>
  </si>
  <si>
    <t>TR-CA-301</t>
  </si>
  <si>
    <t>Solicitud de cotización</t>
  </si>
  <si>
    <t>DADO QUE el estudio publicó el formulario «Cotiza tu caso»</t>
  </si>
  <si>
    <t>CUANDO un visitante envía nombre, correo, celular 987654321 y mensaje aceptando la política</t>
  </si>
  <si>
    <t>ENTONCES el envío queda registrado y el estudio recibe el correo con los datos</t>
  </si>
  <si>
    <t>TR-CA-302</t>
  </si>
  <si>
    <t>Sin aceptar la política</t>
  </si>
  <si>
    <t>DADO QUE el visitante completa el formulario</t>
  </si>
  <si>
    <t>CUANDO lo envía sin marcar la aceptación de la política de privacidad</t>
  </si>
  <si>
    <t>ENTONCES el sistema no lo registra y resalta la casilla obligatoria</t>
  </si>
  <si>
    <t>TR-CA-303</t>
  </si>
  <si>
    <t>Exceso de envíos</t>
  </si>
  <si>
    <t>DADO QUE desde una misma IP se enviaron 5 formularios en 10 minutos</t>
  </si>
  <si>
    <t>CUANDO se intenta un sexto envío</t>
  </si>
  <si>
    <t>ENTONCES el sistema rechaza con «Demasiados envíos; intente más tarde»</t>
  </si>
  <si>
    <t>TR-CA-304</t>
  </si>
  <si>
    <t>Registro con Google</t>
  </si>
  <si>
    <t>DADO QUE el paciente Carlos Rojas no tiene cuenta en el portal de la clínica</t>
  </si>
  <si>
    <t>CUANDO se registra con su cuenta de Google aceptando la política</t>
  </si>
  <si>
    <t>ENTONCES se crea la cuenta y se vincula con su ficha existente por correo</t>
  </si>
  <si>
    <t>TR-CA-305</t>
  </si>
  <si>
    <t>DADO QUE el visitante elige registro con correo</t>
  </si>
  <si>
    <t>CUANDO intenta continuar sin aceptar la política</t>
  </si>
  <si>
    <t>ENTONCES el sistema no crea la cuenta</t>
  </si>
  <si>
    <t>TR-CA-306</t>
  </si>
  <si>
    <t>Ingreso correcto</t>
  </si>
  <si>
    <t>DADO QUE el socio tiene cuenta con celular 987654321</t>
  </si>
  <si>
    <t>CUANDO ingresa el código recibido dentro de 5 minutos</t>
  </si>
  <si>
    <t>ENTONCES accede a su portal</t>
  </si>
  <si>
    <t>TR-CA-307</t>
  </si>
  <si>
    <t>Tercer intento fallido</t>
  </si>
  <si>
    <t>DADO QUE el cliente falló 2 veces</t>
  </si>
  <si>
    <t>CUANDO ingresa un código incorrecto por tercera vez</t>
  </si>
  <si>
    <t>ENTONCES el código se invalida y debe solicitar uno nuevo</t>
  </si>
  <si>
    <t>TR-CA-308</t>
  </si>
  <si>
    <t>Reenvío antes de 60 segundos</t>
  </si>
  <si>
    <t>DADO QUE se envió un código hace 30 segundos</t>
  </si>
  <si>
    <t>CUANDO el cliente pide reenviarlo</t>
  </si>
  <si>
    <t>ENTONCES el botón muestra la cuenta regresiva y no se envía otro código</t>
  </si>
  <si>
    <t>TR-CA-309</t>
  </si>
  <si>
    <t>Cambio de celular verificado</t>
  </si>
  <si>
    <t>DADO QUE el cliente tiene el celular 987654321</t>
  </si>
  <si>
    <t>CUANDO registra el nuevo celular 912345678 e ingresa el código de verificación</t>
  </si>
  <si>
    <t>ENTONCES la ficha queda con el nuevo celular</t>
  </si>
  <si>
    <t>TR-CA-310</t>
  </si>
  <si>
    <t>Edición de nombre validado</t>
  </si>
  <si>
    <t>DADO QUE los nombres del cliente provienen de la consulta DNI</t>
  </si>
  <si>
    <t>CUANDO intenta modificar su apellido</t>
  </si>
  <si>
    <t>ENTONCES el campo aparece de solo lectura y se ofrece presentar una solicitud de rectificación</t>
  </si>
  <si>
    <t>TR-CA-311</t>
  </si>
  <si>
    <t>Cliente con citas y compras</t>
  </si>
  <si>
    <t>DADO QUE Juana tiene 3 citas en CLI y 2 compras en la farmacia del mismo tenant</t>
  </si>
  <si>
    <t>CUANDO abre «Mis movimientos»</t>
  </si>
  <si>
    <t>ENTONCES ve las 5 transacciones ordenadas por fecha</t>
  </si>
  <si>
    <t>TR-CA-312</t>
  </si>
  <si>
    <t>Transacciones de otro tenant</t>
  </si>
  <si>
    <t>DADO QUE Juana también es cliente de otro negocio que usa la plataforma</t>
  </si>
  <si>
    <t>CUANDO abre el portal del primer tenant</t>
  </si>
  <si>
    <t>ENTONCES solo ve las transacciones de ese tenant</t>
  </si>
  <si>
    <t>TR-CA-313</t>
  </si>
  <si>
    <t>Revocación de promociones</t>
  </si>
  <si>
    <t>DADO QUE el cliente tiene aceptada la finalidad PROMOCIONES</t>
  </si>
  <si>
    <t>CUANDO la revoca desde «Privacidad»</t>
  </si>
  <si>
    <t>ENTONCES la finalidad queda REVOCADA y no recibe más campañas</t>
  </si>
  <si>
    <t>TR-CA-314</t>
  </si>
  <si>
    <t>Nueva versión de la política</t>
  </si>
  <si>
    <t>DADO QUE el tenant publicó una nueva versión del texto de PROMOCIONES</t>
  </si>
  <si>
    <t>CUANDO el cliente ingresa al portal</t>
  </si>
  <si>
    <t>ENTONCES el portal le muestra el cambio y solicita su decisión sobre la nueva versión</t>
  </si>
  <si>
    <t>TR-CA-315</t>
  </si>
  <si>
    <t>Integración con ERP</t>
  </si>
  <si>
    <t>DADO QUE el tenant de ECO tiene API incluida en su plan</t>
  </si>
  <si>
    <t>CUANDO registra la integración «ERP contable» con alcance eco.pedidos.leer</t>
  </si>
  <si>
    <t>ENTONCES se genera el client_id y el secreto se muestra una sola vez</t>
  </si>
  <si>
    <t>TR-CA-316</t>
  </si>
  <si>
    <t>Alcance de producto no contratado</t>
  </si>
  <si>
    <t>DADO QUE el tenant no tiene CLI</t>
  </si>
  <si>
    <t>CUANDO intenta otorgar el alcance cli.citas.leer</t>
  </si>
  <si>
    <t>ENTONCES el sistema no muestra ni acepta ese alcance</t>
  </si>
  <si>
    <t>TR-CA-317</t>
  </si>
  <si>
    <t>Consulta paginada</t>
  </si>
  <si>
    <t>DADO QUE el ERP tiene token con eco.pedidos.leer</t>
  </si>
  <si>
    <t>CUANDO consulta GET /v1/eco/pedidos?limit=50</t>
  </si>
  <si>
    <t>ENTONCES recibe 50 pedidos del tenant y el cursor de la siguiente página</t>
  </si>
  <si>
    <t>TR-CA-318</t>
  </si>
  <si>
    <t>Exceso del límite</t>
  </si>
  <si>
    <t>DADO QUE el plan BASICO permite 60 solicitudes por minuto</t>
  </si>
  <si>
    <t>CUANDO el integrador realiza la solicitud 61 en el mismo minuto</t>
  </si>
  <si>
    <t>ENTONCES recibe 429 con la cabecera Retry-After</t>
  </si>
  <si>
    <t>TR-CA-319</t>
  </si>
  <si>
    <t>Alcance insuficiente</t>
  </si>
  <si>
    <t>DADO QUE el token solo tiene eco.pedidos.leer</t>
  </si>
  <si>
    <t>CUANDO el integrador intenta POST /v1/eco/pedidos</t>
  </si>
  <si>
    <t>ENTONCES recibe 403 indicando el alcance faltante</t>
  </si>
  <si>
    <t>TR-CA-320</t>
  </si>
  <si>
    <t>Entrega firmada</t>
  </si>
  <si>
    <t>DADO QUE el tenant suscribió https://erp.andina.pe/hooks a cpe.aceptado</t>
  </si>
  <si>
    <t>CUANDO se acepta una factura</t>
  </si>
  <si>
    <t>ENTONCES el ERP recibe el evento con la cabecera de firma HMAC válida</t>
  </si>
  <si>
    <t>TR-CA-321</t>
  </si>
  <si>
    <t>URL sin HTTPS</t>
  </si>
  <si>
    <t>DADO QUE el actor registra http://erp.andina.pe/hooks</t>
  </si>
  <si>
    <t>CUANDO guarda la suscripción</t>
  </si>
  <si>
    <t>ENTONCES el sistema rechaza con «La URL debe usar HTTPS»</t>
  </si>
  <si>
    <t>TR-CA-322</t>
  </si>
  <si>
    <t>Destino caído 3 días</t>
  </si>
  <si>
    <t>DADO QUE el destino responde 500 desde hace 72 horas</t>
  </si>
  <si>
    <t>CUANDO falla el último reintento</t>
  </si>
  <si>
    <t>ENTONCES la suscripción pasa a DESACTIVADA y el administrador recibe el aviso</t>
  </si>
  <si>
    <t>TR-CA-323</t>
  </si>
  <si>
    <t>Lectura y confirmación</t>
  </si>
  <si>
    <t>DADO QUE el conector de la Municipalidad de Yanahuara confirmó hasta el seq 5 000</t>
  </si>
  <si>
    <t>CUANDO solicita eventos después de 5 000</t>
  </si>
  <si>
    <t>ENTONCES recibe los eventos siguientes y, al confirmar 5 400, su last_ack_seq queda en 5 400</t>
  </si>
  <si>
    <t>TR-CA-324</t>
  </si>
  <si>
    <t>Conciliación descuadrada</t>
  </si>
  <si>
    <t>DADO QUE el origen registró 812 tickets el 09/10/2026 en la sede y el destino 809</t>
  </si>
  <si>
    <t>CUANDO el conector reporta la conciliación</t>
  </si>
  <si>
    <t>ENTONCES el registro queda con cuadra = falso y se abre una alerta para el tenant</t>
  </si>
  <si>
    <t>TR-CA-325</t>
  </si>
  <si>
    <t>Purga con suscriptor atrasado</t>
  </si>
  <si>
    <t>DADO QUE un suscriptor activo confirmó solo hasta el seq 3 000</t>
  </si>
  <si>
    <t>CUANDO se ejecuta la purga</t>
  </si>
  <si>
    <t>ENTONCES no se eliminan eventos posteriores al seq 3 000</t>
  </si>
  <si>
    <t>TR-CA-326</t>
  </si>
  <si>
    <t>Enrolamiento exitoso</t>
  </si>
  <si>
    <t>DADO QUE el administrador generó el código K7M2Q9XP para la sucursal «Huancayo»</t>
  </si>
  <si>
    <t>CUANDO el técnico lo ingresa en el instalador dentro de 30 minutos</t>
  </si>
  <si>
    <t>ENTONCES el agente queda enrolado y EN_LINEA en la consola</t>
  </si>
  <si>
    <t>TR-CA-327</t>
  </si>
  <si>
    <t>Código reutilizado</t>
  </si>
  <si>
    <t>DADO QUE el código K7M2Q9XP ya fue usado</t>
  </si>
  <si>
    <t>CUANDO se ingresa en otro equipo</t>
  </si>
  <si>
    <t>ENTONCES el agente muestra «Código inválido o usado» y no se enrola</t>
  </si>
  <si>
    <t>TR-CA-328</t>
  </si>
  <si>
    <t>Comanda a cocina</t>
  </si>
  <si>
    <t>DADO QUE la estación COCINA tiene una impresora de red 192.168.1.50</t>
  </si>
  <si>
    <t>CUANDO REST envía una comanda con destino COCINA</t>
  </si>
  <si>
    <t>ENTONCES la comanda se imprime y el agente reporta IMPRESO</t>
  </si>
  <si>
    <t>TR-CA-329</t>
  </si>
  <si>
    <t>Impresora sin papel</t>
  </si>
  <si>
    <t>DADO QUE la impresora de caja no tiene papel</t>
  </si>
  <si>
    <t>CUANDO se envía una boleta a imprimir</t>
  </si>
  <si>
    <t>ENTONCES el agente reporta ERROR «Sin papel» y el POS muestra la alerta con opción de reimprimir</t>
  </si>
  <si>
    <t>TR-CA-330</t>
  </si>
  <si>
    <t>Apertura de cajón con cobro en efectivo</t>
  </si>
  <si>
    <t>DADO QUE el cajero cobra en efectivo</t>
  </si>
  <si>
    <t>CUANDO el POS envía la boleta con abrir_cajon = verdadero</t>
  </si>
  <si>
    <t>ENTONCES se imprime la boleta y se abre el cajón</t>
  </si>
  <si>
    <t>TR-CA-331</t>
  </si>
  <si>
    <t>Sincronización tras corte</t>
  </si>
  <si>
    <t>DADO QUE la sucursal «Huancayo» estuvo 3 horas sin internet y registró 420 operaciones</t>
  </si>
  <si>
    <t>CUANDO vuelve la conexión</t>
  </si>
  <si>
    <t>ENTONCES las 420 operaciones se sincronizan en orden y quedan CONFIRMADO</t>
  </si>
  <si>
    <t>TR-CA-332</t>
  </si>
  <si>
    <t>Conflicto de configuración</t>
  </si>
  <si>
    <t>DADO QUE durante el corte se cambió el precio de un servicio en la nube</t>
  </si>
  <si>
    <t>CUANDO el agente sincroniza</t>
  </si>
  <si>
    <t>ENTONCES prevalece el precio de la nube para nuevas operaciones y las registradas offline conservan su precio</t>
  </si>
  <si>
    <t>TR-CA-333</t>
  </si>
  <si>
    <t>Límite de 72 horas</t>
  </si>
  <si>
    <t>DADO QUE el agente lleva 70 horas sin conexión</t>
  </si>
  <si>
    <t>CUANDO se alcanza el umbral de aviso</t>
  </si>
  <si>
    <t>ENTONCES el agente muestra en los equipos «Conecte a internet antes de 2 horas» y alerta a la consola al reconectar</t>
  </si>
  <si>
    <t>TR-CA-334</t>
  </si>
  <si>
    <t>Actualización por evento</t>
  </si>
  <si>
    <t>DADO QUE el agente tiene MEDIO_PAGO versión 4</t>
  </si>
  <si>
    <t>CUANDO se publica catalogo.actualizado con versión 5</t>
  </si>
  <si>
    <t>ENTONCES el agente descarga la versión 5 en menos de 1 minuto</t>
  </si>
  <si>
    <t>TR-CA-335</t>
  </si>
  <si>
    <t>Paquete corrupto</t>
  </si>
  <si>
    <t>DADO QUE la descarga del paquete de precios llega con hash distinto al anunciado</t>
  </si>
  <si>
    <t>CUANDO el agente lo verifica</t>
  </si>
  <si>
    <t>ENTONCES descarta el paquete, conserva la versión anterior y reintenta</t>
  </si>
  <si>
    <t>TR-CA-336</t>
  </si>
  <si>
    <t>Actualización en anillo piloto</t>
  </si>
  <si>
    <t>DADO QUE 5 agentes están en el anillo PILOTO</t>
  </si>
  <si>
    <t>CUANDO el administrador publica la versión 1.8.0 para PILOTO</t>
  </si>
  <si>
    <t>ENTONCES solo esos 5 agentes se actualizan fuera de su horario de operación</t>
  </si>
  <si>
    <t>TR-CA-337</t>
  </si>
  <si>
    <t>Paquete sin firma válida</t>
  </si>
  <si>
    <t>DADO QUE un paquete de actualización tiene firma inválida</t>
  </si>
  <si>
    <t>CUANDO el agente lo descarga</t>
  </si>
  <si>
    <t>ENTONCES rechaza la instalación y reporta el error en su latido</t>
  </si>
  <si>
    <t>TR-CA-338</t>
  </si>
  <si>
    <t>Agente sin latido</t>
  </si>
  <si>
    <t>DADO QUE el agente de «Huancayo» no reporta desde hace 6 minutos en horario de operación</t>
  </si>
  <si>
    <t>CUANDO se evalúan las reglas</t>
  </si>
  <si>
    <t>ENTONCES se abre una alerta SIN_DATOS para la sucursal</t>
  </si>
  <si>
    <t>Requerimientos no funcionales (ISO/IEC 25010:2023)</t>
  </si>
  <si>
    <t>Propios del sistema y heredados de la plataforma (TR-RNF-001…030).</t>
  </si>
  <si>
    <t>Origen</t>
  </si>
  <si>
    <t>Característica</t>
  </si>
  <si>
    <t>Subcaracterística</t>
  </si>
  <si>
    <t>Métrica / umbral</t>
  </si>
  <si>
    <t>Verificación</t>
  </si>
  <si>
    <t>Alcance</t>
  </si>
  <si>
    <t>TR-RNF-001</t>
  </si>
  <si>
    <t>Plataforma</t>
  </si>
  <si>
    <t>Eficiencia de desempeño</t>
  </si>
  <si>
    <t>Comportamiento temporal</t>
  </si>
  <si>
    <t>Las operaciones transaccionales de mostrador (registrar venta, cita, ticket, pedido) responden en menos de 800 ms en el percentil 95.</t>
  </si>
  <si>
    <t>p95 &lt; 800 ms medido en trazas de producción</t>
  </si>
  <si>
    <t>Prueba de carga (k6) + trazas OpenTelemetry</t>
  </si>
  <si>
    <t>Todo</t>
  </si>
  <si>
    <t>TR-RNF-002</t>
  </si>
  <si>
    <t>Las consultas y listados paginados responden en menos de 1,5 s en el percentil 95 con hasta 100 000 registros por tenant.</t>
  </si>
  <si>
    <t>p95 &lt; 1,5 s</t>
  </si>
  <si>
    <t>Prueba de carga con datos sintéticos</t>
  </si>
  <si>
    <t>TR-RNF-003</t>
  </si>
  <si>
    <t>Capacidad</t>
  </si>
  <si>
    <t>La plataforma soporta 200 usuarios concurrentes por instancia de API sin degradación mayor al 20 % del p95.</t>
  </si>
  <si>
    <t>200 usuarios concurrentes</t>
  </si>
  <si>
    <t>Prueba de carga escalonada</t>
  </si>
  <si>
    <t>TR-RNF-004</t>
  </si>
  <si>
    <t>Los portales públicos cumplen Core Web Vitals en móvil: LCP ≤ 2,5 s, INP ≤ 200 ms, CLS ≤ 0,1.</t>
  </si>
  <si>
    <t>Percentil 75 de usuarios reales</t>
  </si>
  <si>
    <t>Lighthouse CI + datos de campo</t>
  </si>
  <si>
    <t>TR-RNF-005</t>
  </si>
  <si>
    <t>Fiabilidad</t>
  </si>
  <si>
    <t>Disponibilidad</t>
  </si>
  <si>
    <t>Disponibilidad mensual de la API ≥ 99,5 % en el horario comercial del cliente.</t>
  </si>
  <si>
    <t>≥ 99,5 % mensual</t>
  </si>
  <si>
    <t>Monitoreo sintético cada minuto</t>
  </si>
  <si>
    <t>TR-RNF-006</t>
  </si>
  <si>
    <t>Recuperabilidad</t>
  </si>
  <si>
    <t>Respaldo automático diario con retención de 30 días y punto de recuperación ≤ 24 h; restauración en ≤ 4 h.</t>
  </si>
  <si>
    <t>RPO ≤ 24 h, RTO ≤ 4 h</t>
  </si>
  <si>
    <t>Prueba de restauración mensual documentada</t>
  </si>
  <si>
    <t>TR-RNF-007</t>
  </si>
  <si>
    <t>Tolerancia a fallos</t>
  </si>
  <si>
    <t>Las integraciones externas (SUNAT/OSE, pasarelas, RENIEC, mensajería) usan timeout, reintento con backoff y circuit breaker; su caída no bloquea la operación principal.</t>
  </si>
  <si>
    <t>Ninguna operación de mostrador falla por caída de un tercero</t>
  </si>
  <si>
    <t>Pruebas de caos con dependencias simuladas</t>
  </si>
  <si>
    <t>TR-RNF-008</t>
  </si>
  <si>
    <t>Madurez</t>
  </si>
  <si>
    <t>Las operaciones que cambian estado son idempotentes ante reintentos del cliente mediante clave de idempotencia.</t>
  </si>
  <si>
    <t>0 duplicados en pruebas de reintento</t>
  </si>
  <si>
    <t>Pruebas automatizadas de reintento</t>
  </si>
  <si>
    <t>TR-RNF-009</t>
  </si>
  <si>
    <t>Seguridad</t>
  </si>
  <si>
    <t>Autenticidad</t>
  </si>
  <si>
    <t>Autenticación OIDC centralizada; contraseñas gestionadas por el IdP; bloqueo tras 5 intentos fallidos; MFA obligatorio para permisos sensibles.</t>
  </si>
  <si>
    <t>Configuración verificada</t>
  </si>
  <si>
    <t>Revisión de configuración + prueba</t>
  </si>
  <si>
    <t>TR-RNF-010</t>
  </si>
  <si>
    <t>Confidencialidad</t>
  </si>
  <si>
    <t>Aislamiento por tenant con doble barrera: contexto de aplicación y Row Level Security en PostgreSQL.</t>
  </si>
  <si>
    <t>0 accesos cruzados en pruebas</t>
  </si>
  <si>
    <t>Pruebas automatizadas de aislamiento</t>
  </si>
  <si>
    <t>TR-RNF-011</t>
  </si>
  <si>
    <t>Cifrado en tránsito TLS 1.2+ y en reposo para base de datos, respaldos y archivos; secretos en gestor de secretos.</t>
  </si>
  <si>
    <t>100 % de endpoints con TLS</t>
  </si>
  <si>
    <t>Escaneo de configuración</t>
  </si>
  <si>
    <t>TR-RNF-012</t>
  </si>
  <si>
    <t>Integridad</t>
  </si>
  <si>
    <t>Cumplimiento de OWASP ASVS nivel 2 para la API y los frontends; validación de entradas en servidor.</t>
  </si>
  <si>
    <t>0 hallazgos altos o críticos abiertos</t>
  </si>
  <si>
    <t>Análisis SAST/DAST en CI y pentest anual</t>
  </si>
  <si>
    <t>TR-RNF-013</t>
  </si>
  <si>
    <t>Responsabilidad</t>
  </si>
  <si>
    <t>Toda operación crítica y todo acceso a datos sensibles queda en auditoría inmutable con usuario, fecha, origen y contexto.</t>
  </si>
  <si>
    <t>100 % de operaciones críticas auditadas</t>
  </si>
  <si>
    <t>Revisión de muestras de auditoría</t>
  </si>
  <si>
    <t>TR-RNF-014</t>
  </si>
  <si>
    <t>Sesiones con expiración por inactividad configurable (por defecto 30 min en backoffice) y tokens de corta duración con renovación.</t>
  </si>
  <si>
    <t>Prueba funcional</t>
  </si>
  <si>
    <t>TR-RNF-015</t>
  </si>
  <si>
    <t>Resistencia</t>
  </si>
  <si>
    <t>Límite de tasa por IP y por usuario en endpoints públicos y de autenticación.</t>
  </si>
  <si>
    <t>Respuesta 429 al superar el umbral</t>
  </si>
  <si>
    <t>Prueba automatizada</t>
  </si>
  <si>
    <t>TR-RNF-016</t>
  </si>
  <si>
    <t>Adecuación funcional</t>
  </si>
  <si>
    <t>Corrección funcional</t>
  </si>
  <si>
    <t>Cumplimiento de la Ley 29733 y su reglamento (D.S. 016-2024-JUS): consentimiento, finalidad, derechos ARCO, notificación de incidentes en 48 h.</t>
  </si>
  <si>
    <t>Checklist de cumplimiento aprobado</t>
  </si>
  <si>
    <t>Revisión legal y funcional</t>
  </si>
  <si>
    <t>Comprobantes electrónicos conformes a la normativa vigente de SUNAT (estructura UBL 2.1 y catálogos oficiales).</t>
  </si>
  <si>
    <t>100 % de comprobantes aceptados en pruebas del PSE/OSE</t>
  </si>
  <si>
    <t>Pruebas de homologación</t>
  </si>
  <si>
    <t>TR-RNF-018</t>
  </si>
  <si>
    <t>Capacidad de interacción</t>
  </si>
  <si>
    <t>Operabilidad</t>
  </si>
  <si>
    <t>Interfaz responsiva para escritorio, tableta y móvil (≥ 360 px de ancho) en español de Perú.</t>
  </si>
  <si>
    <t>Pruebas en 3 tamaños de pantalla</t>
  </si>
  <si>
    <t>Pruebas visuales automatizadas</t>
  </si>
  <si>
    <t>TR-RNF-019</t>
  </si>
  <si>
    <t>Accesibilidad</t>
  </si>
  <si>
    <t>Portales públicos conformes con WCAG 2.1 nivel AA.</t>
  </si>
  <si>
    <t>0 errores críticos en auditoría automática</t>
  </si>
  <si>
    <t>axe-core en CI + revisión manual</t>
  </si>
  <si>
    <t>TR-RNF-020</t>
  </si>
  <si>
    <t>Aprendizaje</t>
  </si>
  <si>
    <t>Un usuario operativo realiza las tareas principales tras una capacitación de menos de 1 hora.</t>
  </si>
  <si>
    <t>≥ 90 % de tareas completadas en prueba con usuarios</t>
  </si>
  <si>
    <t>Prueba de usabilidad</t>
  </si>
  <si>
    <t>TR-RNF-021</t>
  </si>
  <si>
    <t>Protección contra errores</t>
  </si>
  <si>
    <t>Confirmación explícita y motivo obligatorio para acciones destructivas o irreversibles (anular, eliminar, reembolsar).</t>
  </si>
  <si>
    <t>100 % de acciones destructivas con confirmación</t>
  </si>
  <si>
    <t>Revisión de UI</t>
  </si>
  <si>
    <t>TR-RNF-022</t>
  </si>
  <si>
    <t>Compatibilidad</t>
  </si>
  <si>
    <t>Interoperabilidad</t>
  </si>
  <si>
    <t>API REST documentada con OpenAPI 3, versionada (/v1) y con contrato verificado en CI.</t>
  </si>
  <si>
    <t>100 % de endpoints documentados</t>
  </si>
  <si>
    <t>Validación de contrato en CI</t>
  </si>
  <si>
    <t>TR-RNF-023</t>
  </si>
  <si>
    <t>Coexistencia</t>
  </si>
  <si>
    <t>Compatible con las dos últimas versiones de Chrome, Edge, Firefox y Safari, y Android de gama media.</t>
  </si>
  <si>
    <t>Matriz de navegadores aprobada</t>
  </si>
  <si>
    <t>Pruebas e2e multinavegador</t>
  </si>
  <si>
    <t>TR-RNF-024</t>
  </si>
  <si>
    <t>Mantenibilidad</t>
  </si>
  <si>
    <t>Modularidad</t>
  </si>
  <si>
    <t>Monolito modular con arquitectura hexagonal por módulo y límites verificados por reglas del monorepo.</t>
  </si>
  <si>
    <t>0 violaciones de límites</t>
  </si>
  <si>
    <t>Lint de límites de Nx en CI</t>
  </si>
  <si>
    <t>TR-RNF-025</t>
  </si>
  <si>
    <t>Capacidad de prueba</t>
  </si>
  <si>
    <t>Cobertura de pruebas unitarias del dominio ≥ 70 % y pruebas de integración de los flujos críticos.</t>
  </si>
  <si>
    <t>≥ 70 % en dominio</t>
  </si>
  <si>
    <t>Reporte de cobertura en CI</t>
  </si>
  <si>
    <t>TR-RNF-026</t>
  </si>
  <si>
    <t>Capacidad de análisis</t>
  </si>
  <si>
    <t>Logs estructurados con trace_id, tenant y sucursal, sin datos personales; trazas distribuidas OpenTelemetry.</t>
  </si>
  <si>
    <t>100 % de solicitudes trazadas o muestreadas</t>
  </si>
  <si>
    <t>Revisión de telemetría</t>
  </si>
  <si>
    <t>TR-RNF-027</t>
  </si>
  <si>
    <t>Flexibilidad</t>
  </si>
  <si>
    <t>Adaptabilidad</t>
  </si>
  <si>
    <t>Configuración por tenant (marca, parámetros, catálogos propios, plantillas) sin cambios de código.</t>
  </si>
  <si>
    <t>0 despliegues para configurar un cliente</t>
  </si>
  <si>
    <t>Prueba de alta de tenant</t>
  </si>
  <si>
    <t>TR-RNF-028</t>
  </si>
  <si>
    <t>Escalabilidad</t>
  </si>
  <si>
    <t>Componentes desplegables en contenedores y escalables horizontalmente sin estado en la API.</t>
  </si>
  <si>
    <t>Escalado de 1 a 3 instancias sin errores</t>
  </si>
  <si>
    <t>Prueba de escalado</t>
  </si>
  <si>
    <t>TR-RNF-029</t>
  </si>
  <si>
    <t>Instalabilidad</t>
  </si>
  <si>
    <t>Alta de un nuevo cliente (tenant, empresa, sucursal, usuario administrador) en menos de 15 minutos mediante asistente.</t>
  </si>
  <si>
    <t>&lt; 15 min</t>
  </si>
  <si>
    <t>Prueba cronometrada</t>
  </si>
  <si>
    <t>TR-RNF-030</t>
  </si>
  <si>
    <t>Protección</t>
  </si>
  <si>
    <t>Advertencia de peligro</t>
  </si>
  <si>
    <t>Las acciones que afectan dinero, inventario o datos de salud muestran advertencias claras y quedan reversibles cuando la norma lo permite.</t>
  </si>
  <si>
    <t>Revisión de flujos críticos</t>
  </si>
  <si>
    <t>Revisión de UI y reglas</t>
  </si>
  <si>
    <t>TR-RNF-101</t>
  </si>
  <si>
    <t>Propio</t>
  </si>
  <si>
    <t>La resolución de permisos efectivos y menú de un usuario para una sucursal usa caché Redis y se invalida tras cualquier cambio de rol, asignación o suscripción.</t>
  </si>
  <si>
    <t>p95 &lt; 20 ms con caché; invalidación efectiva ≤ 5 s tras el cambio</t>
  </si>
  <si>
    <t>Prueba de carga k6 + prueba de integración de invalidación</t>
  </si>
  <si>
    <t>TR-RNF-102</t>
  </si>
  <si>
    <t>La consulta de ítems de catálogo responde desde caché con ETag y devuelve 304 cuando no hay cambios.</t>
  </si>
  <si>
    <t>p95 &lt; 50 ms en caché; ≥ 90 % de respuestas 304 en navegación repetida</t>
  </si>
  <si>
    <t>Trazas OpenTelemetry y métricas de caché</t>
  </si>
  <si>
    <t>TR-RNF-103</t>
  </si>
  <si>
    <t>El servicio de correlativos sostiene numeración concurrente sin duplicados ni huecos.</t>
  </si>
  <si>
    <t>≥ 200 números/s por serie con 50 hilos; 0 duplicados y 0 huecos</t>
  </si>
  <si>
    <t>Prueba de concurrencia automatizada en CI</t>
  </si>
  <si>
    <t>TR-RNF-104</t>
  </si>
  <si>
    <t>Los comprobantes electrónicos alcanzan estado final (aceptado, observado o rechazado) de forma oportuna y sin pérdidas.</t>
  </si>
  <si>
    <t>≥ 99 % con estado final en ≤ 10 min; 0 comprobantes perdidos</t>
  </si>
  <si>
    <t>Tablero de emisión y conciliación diaria emitidos vs. CDR</t>
  </si>
  <si>
    <t>TR-RNF-105</t>
  </si>
  <si>
    <t>Ante indisponibilidad del PSE/OSE la emisión continúa en cola persistente y se reenvía automáticamente dentro del plazo legal.</t>
  </si>
  <si>
    <t>0 comprobantes vencidos por caída del OSE; alerta cuando falten 24 h para el vencimiento</t>
  </si>
  <si>
    <t>Prueba de caos con OSE simulado caído 6 h</t>
  </si>
  <si>
    <t>TR-RNF-106</t>
  </si>
  <si>
    <t>El despacho de eventos desde el outbox garantiza entrega al menos una vez con baja latencia.</t>
  </si>
  <si>
    <t>Retraso p95 de publicación &lt; 5 s; 0 eventos perdidos al reiniciar workers</t>
  </si>
  <si>
    <t>Prueba de caos (kill de workers) y conteo outbox vs. consumidos</t>
  </si>
  <si>
    <t>TR-RNF-107</t>
  </si>
  <si>
    <t>Los webhooks salientes se reintentan hasta su entrega o desactivación controlada.</t>
  </si>
  <si>
    <t>Tasa de entrega final ≥ 99,9 % con destino disponible dentro de 24 h</t>
  </si>
  <si>
    <t>Métricas de entregas por suscripción</t>
  </si>
  <si>
    <t>TR-RNF-108</t>
  </si>
  <si>
    <t>El agente local mantiene la operación sin internet y sincroniza sin pérdida al reconectar.</t>
  </si>
  <si>
    <t>72 h offline sin pérdida; 10 000 eventos sincronizados en &lt; 5 min</t>
  </si>
  <si>
    <t>Prueba de campo con desconexión controlada</t>
  </si>
  <si>
    <t>TR-RNF-109</t>
  </si>
  <si>
    <t>Los webhooks entrantes de pasarelas y proveedores se verifican por firma y marca de tiempo.</t>
  </si>
  <si>
    <t>100 % de webhooks con firma HMAC válida; rechazo si la marca de tiempo difiere &gt; 5 min</t>
  </si>
  <si>
    <t>Pruebas de seguridad con webhooks alterados y repetidos</t>
  </si>
  <si>
    <t>TR-RNF-110</t>
  </si>
  <si>
    <t>El acceso de soporte a un tenant es temporal, visible para el cliente y completamente auditado.</t>
  </si>
  <si>
    <t>Vigencia ≤ 4 h; banner visible en el 100 % de pantallas; 100 % de acciones auditadas</t>
  </si>
  <si>
    <t>Revisión de bitácora y prueba funcional</t>
  </si>
  <si>
    <t>TR-RNF-111</t>
  </si>
  <si>
    <t>Los números de documento en bitácoras y logs se almacenan con hash SHA-256 con sal de plataforma, nunca en claro.</t>
  </si>
  <si>
    <t>0 números de DNI/RUC en claro en logs (escaneo semanal con expresiones regulares)</t>
  </si>
  <si>
    <t>Escaneo automatizado de logs y bitácoras</t>
  </si>
  <si>
    <t>TR-RNF-112</t>
  </si>
  <si>
    <t>La auditoría se encadena por hash y su integridad se verifica diariamente.</t>
  </si>
  <si>
    <t>Detección del 100 % de alteraciones simuladas; verificación diaria &lt; 15 min por tenant</t>
  </si>
  <si>
    <t>Prueba de manipulación directa en BD de pruebas</t>
  </si>
  <si>
    <t>TR-RNF-113</t>
  </si>
  <si>
    <t>Los secretos del tenant (certificado digital, credenciales OSE, llaves de pasarela, tokens de mensajería) se cifran con clave por tenant en un gestor de secretos y se rotan sin interrupción.</t>
  </si>
  <si>
    <t>0 secretos en texto plano en BD o repositorio; rotación sin errores de emisión</t>
  </si>
  <si>
    <t>Revisión de configuración y escaneo de secretos en CI</t>
  </si>
  <si>
    <t>TR-RNF-114</t>
  </si>
  <si>
    <t>Todo archivo cargado se analiza con antivirus antes de quedar disponible y se sirve con URL firmada de corta vigencia.</t>
  </si>
  <si>
    <t>100 % de archivos escaneados; URL firmada ≤ 15 min; archivo EICAR bloqueado</t>
  </si>
  <si>
    <t>Prueba con archivo EICAR y verificación de expiración</t>
  </si>
  <si>
    <t>TR-RNF-115</t>
  </si>
  <si>
    <t>Las solicitudes a proveedores de IA no contienen datos personales identificables.</t>
  </si>
  <si>
    <t>0 DNI, teléfonos o correos en prompts registrados (muestreo de 1 000 solicitudes/mes)</t>
  </si>
  <si>
    <t>Auditoría automática de prompts registrados</t>
  </si>
  <si>
    <t>TR-RNF-116</t>
  </si>
  <si>
    <t>Las solicitudes ARCO se controlan por plazo con alertas tempranas y tablero de cumplimiento por tenant.</t>
  </si>
  <si>
    <t>Alertas al 50 % y 80 % del plazo; ≥ 98 % atendidas en plazo</t>
  </si>
  <si>
    <t>Reporte mensual de cumplimiento ARCO</t>
  </si>
  <si>
    <t>TR-RNF-117</t>
  </si>
  <si>
    <t>Los contratos de eventos se versionan (schema_version) en un registro de esquemas y mantienen compatibilidad hacia atrás.</t>
  </si>
  <si>
    <t>Compatibilidad con las 2 versiones anteriores verificada en CI</t>
  </si>
  <si>
    <t>Pruebas de contrato de eventos</t>
  </si>
  <si>
    <t>TR-RNF-118</t>
  </si>
  <si>
    <t>La API pública anuncia deprecaciones con antelación mediante cabeceras estándar.</t>
  </si>
  <si>
    <t>Cabeceras Deprecation y Sunset con ≥ 6 meses de anticipación</t>
  </si>
  <si>
    <t>Prueba de contrato y revisión de changelog</t>
  </si>
  <si>
    <t>TR-RNF-119</t>
  </si>
  <si>
    <t>Cada componente expone su API pública (puertos NestJS y librería Angular) y ningún producto accede directamente a las tablas de un esquema transversal.</t>
  </si>
  <si>
    <t>0 violaciones de límites en reglas de dependencias Nx y revisión de consultas SQL</t>
  </si>
  <si>
    <t>Lint de dependencias en CI</t>
  </si>
  <si>
    <t>TR-RNF-120</t>
  </si>
  <si>
    <t>Modificabilidad</t>
  </si>
  <si>
    <t>Cada producto declara permisos, opciones, parámetros, indicadores, reportes y catálogos en un manifiesto versionado que se aplica de forma idempotente en cada despliegue.</t>
  </si>
  <si>
    <t>Aplicar dos veces el mismo manifiesto produce 0 cambios; tiempo de aplicación &lt; 30 s</t>
  </si>
  <si>
    <t>Prueba automatizada en pipeline de despliegue</t>
  </si>
  <si>
    <t>TR-RNF-121</t>
  </si>
  <si>
    <t>Los proveedores externos (OSE/PSE, pasarela, mensajería, identidad, IA) se integran mediante puertos y adaptadores y se cambian por tenant sin despliegue.</t>
  </si>
  <si>
    <t>Cambio de proveedor por configuración en &lt; 10 min sin reinicio</t>
  </si>
  <si>
    <t>Prueba funcional con dos adaptadores por puerto</t>
  </si>
  <si>
    <t>TR-RNF-122</t>
  </si>
  <si>
    <t>La administración embebible adopta los tokens de diseño del producto anfitrión y cumple accesibilidad.</t>
  </si>
  <si>
    <t>WCAG 2.1 AA (axe sin errores críticos); cambio de tema sin recompilar</t>
  </si>
  <si>
    <t>Pruebas axe en CI y revisión visual</t>
  </si>
  <si>
    <t>TR-RNF-123</t>
  </si>
  <si>
    <t>Los sitios del CMS se sirven por SSR con caché en CDN e invalidación al publicar.</t>
  </si>
  <si>
    <t>TTFB p95 &lt; 600 ms; contenido publicado visible en ≤ 60 s</t>
  </si>
  <si>
    <t>Pruebas sintéticas desde Lima y Arequipa</t>
  </si>
  <si>
    <t>TR-RNF-124</t>
  </si>
  <si>
    <t>Las notificaciones transaccionales se entregan al proveedor con rapidez y conmutan de canal ante fallos.</t>
  </si>
  <si>
    <t>95 % entregadas al proveedor en &lt; 30 s; failover de canal en &lt; 2 min</t>
  </si>
  <si>
    <t>Métricas de cola de notificaciones</t>
  </si>
  <si>
    <t>TR-RNF-125</t>
  </si>
  <si>
    <t>El motor de reportes distingue ejecución síncrona y asíncrona según el volumen.</t>
  </si>
  <si>
    <t>Síncrono ≤ 10 000 filas en &lt; 10 s; asíncrono hasta 1 000 000 filas en &lt; 5 min</t>
  </si>
  <si>
    <t>TR-RNF-126</t>
  </si>
  <si>
    <t>La observabilidad de negocio guarda solo indicadores agregados por minuto, sin datos personales, con retención definida.</t>
  </si>
  <si>
    <t>0 campos personales en obs.*; retención 13 meses con partición mensual</t>
  </si>
  <si>
    <t>Revisión de esquema y job de purga</t>
  </si>
  <si>
    <t>TR-RNF-127</t>
  </si>
  <si>
    <t>El evaluador de alertas se ejecuta cada minuto, detecta oportunamente y no duplica alertas.</t>
  </si>
  <si>
    <t>Detección ≤ 2 min desde el evento; 0 alertas duplicadas por regla y sucursal</t>
  </si>
  <si>
    <t>Prueba de integración con series sintéticas</t>
  </si>
  <si>
    <t>TR-RNF-128</t>
  </si>
  <si>
    <t>Protección contra errores del usuario</t>
  </si>
  <si>
    <t>El consumo de IA, mensajería y consultas de identidad por tenant tiene límites mensuales con aviso y corte configurable para evitar sobrecostos.</t>
  </si>
  <si>
    <t>Aviso al 80 % y corte o modo degradado al 100 % según configuración</t>
  </si>
  <si>
    <t>Prueba funcional con consumo simulado</t>
  </si>
  <si>
    <t>Matriz de trazabilidad: procesos × requerimientos funcionales</t>
  </si>
  <si>
    <t>● = el RF soporta el proceso. Fila final: total de RF por proceso.</t>
  </si>
  <si>
    <t>●</t>
  </si>
  <si>
    <t>Total de RF por proceso</t>
  </si>
  <si>
    <t>Leyenda de procesos</t>
  </si>
  <si>
    <t>Matriz de trazabilidad: requerimientos funcionales × no funcionales</t>
  </si>
  <si>
    <t>Solo las columnas de RNF referenciados por al menos un RF.</t>
  </si>
  <si>
    <t>Total de RF por RNF</t>
  </si>
  <si>
    <t>Trazabilidad completa (vista plana para el SDD)</t>
  </si>
  <si>
    <t>Una fila por proceso y RF.</t>
  </si>
  <si>
    <t>Nombre del proceso</t>
  </si>
  <si>
    <t>Criterios</t>
  </si>
  <si>
    <t>TR-CA-001, TR-CA-002, TR-CA-003</t>
  </si>
  <si>
    <t>TR-CA-004, TR-CA-005, TR-CA-006</t>
  </si>
  <si>
    <t>TR-CA-007, TR-CA-008, TR-CA-009</t>
  </si>
  <si>
    <t>TR-CA-010, TR-CA-011, TR-CA-012</t>
  </si>
  <si>
    <t>TR-CA-013, TR-CA-014, TR-CA-015</t>
  </si>
  <si>
    <t>TR-CA-016, TR-CA-017, TR-CA-018</t>
  </si>
  <si>
    <t>TR-CA-019, TR-CA-020, TR-CA-021</t>
  </si>
  <si>
    <t>TR-CA-056, TR-CA-057</t>
  </si>
  <si>
    <t>TR-CA-120, TR-CA-121, TR-CA-122</t>
  </si>
  <si>
    <t>TR-CA-133, TR-CA-134, TR-CA-135</t>
  </si>
  <si>
    <t>TR-CA-182, TR-CA-183</t>
  </si>
  <si>
    <t>TR-CA-254, TR-CA-255</t>
  </si>
  <si>
    <t>TR-CA-326, TR-CA-327</t>
  </si>
  <si>
    <t>TR-CA-022, TR-CA-023, TR-CA-024</t>
  </si>
  <si>
    <t>TR-CA-025, TR-CA-026, TR-CA-027</t>
  </si>
  <si>
    <t>TR-CA-028, TR-CA-029, TR-CA-030</t>
  </si>
  <si>
    <t>TR-CA-031, TR-CA-032, TR-CA-033</t>
  </si>
  <si>
    <t>TR-CA-034, TR-CA-035</t>
  </si>
  <si>
    <t>TR-CA-036, TR-CA-037, TR-CA-038</t>
  </si>
  <si>
    <t>TR-CA-039, TR-CA-040</t>
  </si>
  <si>
    <t>TR-CA-041, TR-CA-042, TR-CA-043</t>
  </si>
  <si>
    <t>TR-CA-044, TR-CA-045, TR-CA-046</t>
  </si>
  <si>
    <t>TR-CA-047, TR-CA-048</t>
  </si>
  <si>
    <t>TR-CA-049, TR-CA-050</t>
  </si>
  <si>
    <t>TR-CA-051, TR-CA-052</t>
  </si>
  <si>
    <t>TR-CA-053, TR-CA-054, TR-CA-055</t>
  </si>
  <si>
    <t>TR-CA-058, TR-CA-059</t>
  </si>
  <si>
    <t>TR-CA-060, TR-CA-061, TR-CA-062</t>
  </si>
  <si>
    <t>TR-CA-063, TR-CA-064, TR-CA-065</t>
  </si>
  <si>
    <t>TR-CA-066, TR-CA-067</t>
  </si>
  <si>
    <t>TR-CA-068, TR-CA-069</t>
  </si>
  <si>
    <t>TR-CA-070, TR-CA-071</t>
  </si>
  <si>
    <t>TR-CA-072, TR-CA-073, TR-CA-074</t>
  </si>
  <si>
    <t>TR-CA-075, TR-CA-076, TR-CA-077</t>
  </si>
  <si>
    <t>TR-CA-078, TR-CA-079</t>
  </si>
  <si>
    <t>TR-CA-080, TR-CA-081, TR-CA-082</t>
  </si>
  <si>
    <t>TR-CA-083, TR-CA-084, TR-CA-085</t>
  </si>
  <si>
    <t>TR-CA-086, TR-CA-087</t>
  </si>
  <si>
    <t>TR-CA-088, TR-CA-089</t>
  </si>
  <si>
    <t>TR-CA-090, TR-CA-091, TR-CA-092</t>
  </si>
  <si>
    <t>TR-CA-093, TR-CA-094, TR-CA-095</t>
  </si>
  <si>
    <t>TR-CA-096, TR-CA-097</t>
  </si>
  <si>
    <t>TR-CA-098, TR-CA-099</t>
  </si>
  <si>
    <t>TR-CA-334, TR-CA-335</t>
  </si>
  <si>
    <t>TR-CA-118, TR-CA-119</t>
  </si>
  <si>
    <t>TR-CA-136, TR-CA-137, TR-CA-138</t>
  </si>
  <si>
    <t>TR-CA-139, TR-CA-140, TR-CA-141</t>
  </si>
  <si>
    <t>TR-CA-142, TR-CA-143</t>
  </si>
  <si>
    <t>TR-CA-144, TR-CA-145</t>
  </si>
  <si>
    <t>TR-CA-146, TR-CA-147</t>
  </si>
  <si>
    <t>TR-CA-148, TR-CA-149</t>
  </si>
  <si>
    <t>TR-CA-150, TR-CA-151, TR-CA-152</t>
  </si>
  <si>
    <t>TR-CA-153, TR-CA-154</t>
  </si>
  <si>
    <t>TR-CA-155, TR-CA-156</t>
  </si>
  <si>
    <t>TR-CA-157, TR-CA-158</t>
  </si>
  <si>
    <t>TR-CA-159, TR-CA-160</t>
  </si>
  <si>
    <t>TR-CA-161, TR-CA-162</t>
  </si>
  <si>
    <t>TR-CA-207, TR-CA-208</t>
  </si>
  <si>
    <t>TR-CA-311, TR-CA-312</t>
  </si>
  <si>
    <t>TR-CA-328, TR-CA-329, TR-CA-330</t>
  </si>
  <si>
    <t>TR-CA-163, TR-CA-164</t>
  </si>
  <si>
    <t>TR-CA-165, TR-CA-166, TR-CA-167</t>
  </si>
  <si>
    <t>TR-CA-168, TR-CA-169</t>
  </si>
  <si>
    <t>TR-CA-170, TR-CA-171</t>
  </si>
  <si>
    <t>TR-CA-172, TR-CA-173, TR-CA-174</t>
  </si>
  <si>
    <t>TR-CA-175, TR-CA-176</t>
  </si>
  <si>
    <t>TR-CA-177, TR-CA-178</t>
  </si>
  <si>
    <t>TR-CA-179, TR-CA-180, TR-CA-181</t>
  </si>
  <si>
    <t>TR-CA-184, TR-CA-185, TR-CA-186</t>
  </si>
  <si>
    <t>TR-CA-187, TR-CA-188, TR-CA-189</t>
  </si>
  <si>
    <t>TR-CA-190, TR-CA-191, TR-CA-192</t>
  </si>
  <si>
    <t>TR-CA-193, TR-CA-194</t>
  </si>
  <si>
    <t>TR-CA-195, TR-CA-196</t>
  </si>
  <si>
    <t>TR-CA-197, TR-CA-198</t>
  </si>
  <si>
    <t>TR-CA-240, TR-CA-241</t>
  </si>
  <si>
    <t>TR-CA-256, TR-CA-257, TR-CA-258</t>
  </si>
  <si>
    <t>TR-CA-301, TR-CA-302, TR-CA-303</t>
  </si>
  <si>
    <t>TR-CA-199, TR-CA-200, TR-CA-201</t>
  </si>
  <si>
    <t>TR-CA-251, TR-CA-252, TR-CA-253</t>
  </si>
  <si>
    <t>TR-CA-289, TR-CA-290, TR-CA-291</t>
  </si>
  <si>
    <t>TR-CA-292, TR-CA-293, TR-CA-294</t>
  </si>
  <si>
    <t>TR-CA-295, TR-CA-296</t>
  </si>
  <si>
    <t>TR-CA-297, TR-CA-298</t>
  </si>
  <si>
    <t>TR-CA-299, TR-CA-300</t>
  </si>
  <si>
    <t>TR-CA-304, TR-CA-305</t>
  </si>
  <si>
    <t>TR-CA-306, TR-CA-307, TR-CA-308</t>
  </si>
  <si>
    <t>TR-CA-309, TR-CA-310</t>
  </si>
  <si>
    <t>TR-CA-313, TR-CA-314</t>
  </si>
  <si>
    <t>TR-CA-263, TR-CA-264, TR-CA-265</t>
  </si>
  <si>
    <t>TR-CA-270, TR-CA-271, TR-CA-272</t>
  </si>
  <si>
    <t>TR-CA-273, TR-CA-274</t>
  </si>
  <si>
    <t>TR-CA-275, TR-CA-276</t>
  </si>
  <si>
    <t>TR-CA-277, TR-CA-278, TR-CA-279</t>
  </si>
  <si>
    <t>TR-CA-280, TR-CA-281, TR-CA-282</t>
  </si>
  <si>
    <t>TR-CA-283, TR-CA-284</t>
  </si>
  <si>
    <t>TR-CA-285, TR-CA-286</t>
  </si>
  <si>
    <t>TR-CA-287, TR-CA-288</t>
  </si>
  <si>
    <t>TR-CA-215, TR-CA-216</t>
  </si>
  <si>
    <t>TR-CA-228, TR-CA-229, TR-CA-230</t>
  </si>
  <si>
    <t>TR-CA-233, TR-CA-234</t>
  </si>
  <si>
    <t>TR-CA-259, TR-CA-260</t>
  </si>
  <si>
    <t>TR-CA-261, TR-CA-262</t>
  </si>
  <si>
    <t>TR-CA-266, TR-CA-267</t>
  </si>
  <si>
    <t>TR-CA-268, TR-CA-269</t>
  </si>
  <si>
    <t>TR-CA-336, TR-CA-337, TR-CA-338</t>
  </si>
  <si>
    <t>TR-CA-100, TR-CA-101, TR-CA-102</t>
  </si>
  <si>
    <t>TR-CA-103, TR-CA-104</t>
  </si>
  <si>
    <t>TR-CA-105, TR-CA-106</t>
  </si>
  <si>
    <t>TR-CA-107, TR-CA-108</t>
  </si>
  <si>
    <t>TR-CA-109, TR-CA-110, TR-CA-111</t>
  </si>
  <si>
    <t>TR-CA-112, TR-CA-113, TR-CA-114</t>
  </si>
  <si>
    <t>TR-CA-115, TR-CA-116, TR-CA-117</t>
  </si>
  <si>
    <t>TR-CA-123, TR-CA-124, TR-CA-125</t>
  </si>
  <si>
    <t>TR-CA-126, TR-CA-127, TR-CA-128</t>
  </si>
  <si>
    <t>TR-CA-129, TR-CA-130</t>
  </si>
  <si>
    <t>TR-CA-131, TR-CA-132</t>
  </si>
  <si>
    <t>TR-CA-249, TR-CA-250</t>
  </si>
  <si>
    <t>TR-CA-202, TR-CA-203</t>
  </si>
  <si>
    <t>TR-CA-204, TR-CA-205, TR-CA-206</t>
  </si>
  <si>
    <t>TR-CA-209, TR-CA-210</t>
  </si>
  <si>
    <t>TR-CA-211, TR-CA-212</t>
  </si>
  <si>
    <t>TR-CA-213, TR-CA-214</t>
  </si>
  <si>
    <t>TR-CA-217, TR-CA-218</t>
  </si>
  <si>
    <t>TR-CA-219, TR-CA-220</t>
  </si>
  <si>
    <t>TR-CA-221, TR-CA-222</t>
  </si>
  <si>
    <t>TR-CA-223, TR-CA-224</t>
  </si>
  <si>
    <t>TR-CA-247, TR-CA-248</t>
  </si>
  <si>
    <t>TR-CA-225, TR-CA-226, TR-CA-227</t>
  </si>
  <si>
    <t>TR-CA-231, TR-CA-232</t>
  </si>
  <si>
    <t>TR-CA-244, TR-CA-245, TR-CA-246</t>
  </si>
  <si>
    <t>TR-CA-315, TR-CA-316</t>
  </si>
  <si>
    <t>TR-CA-317, TR-CA-318, TR-CA-319</t>
  </si>
  <si>
    <t>TR-CA-320, TR-CA-321, TR-CA-322</t>
  </si>
  <si>
    <t>TR-CA-323, TR-CA-324, TR-CA-325</t>
  </si>
  <si>
    <t>TR-CA-331, TR-CA-332, TR-CA-333</t>
  </si>
  <si>
    <t>TR-CA-235, TR-CA-236</t>
  </si>
  <si>
    <t>TR-CA-237, TR-CA-238, TR-CA-239</t>
  </si>
  <si>
    <t>TR-CA-242, TR-CA-243</t>
  </si>
  <si>
    <t>Matriz de componentes transversales y núcleos</t>
  </si>
  <si>
    <t>Uso declarado por el sistema y módulos que lo utilizan (● = algún RF del módulo usa el componente).</t>
  </si>
  <si>
    <t>Código</t>
  </si>
  <si>
    <t>Componente</t>
  </si>
  <si>
    <t>Uso</t>
  </si>
  <si>
    <t>Interfaz</t>
  </si>
  <si>
    <t>Detalle</t>
  </si>
  <si>
    <t>TR-ORG</t>
  </si>
  <si>
    <t>Organización y suscripciones</t>
  </si>
  <si>
    <t>Provee</t>
  </si>
  <si>
    <t>API interna</t>
  </si>
  <si>
    <t>API org: tenants, empresas, sucursales, unidades, suscripciones (/v1/org/*); OrgContextService (tenant/empresa/sucursal del request); eventos tenant.creado, empresa.creada, sucursal.creada, suscripcion.cambiada, suscripcion.vencida, tenant.suspendido</t>
  </si>
  <si>
    <t>Guard @RequierePermiso y PermisoService (seg.permisos_efectivos, menu_usuario, sucursales_accesibles); API de usuarios, membresías, roles, perfiles y asignaciones; aplicación de manifiestos; step-up MFA; acceso de soporte; librería Angular seguridad-cliente</t>
  </si>
  <si>
    <t>Catálogos, enumerados y tablas maestras</t>
  </si>
  <si>
    <t>GET /v1/catalogos/{codigo}/items con ETag; CatalogoPort.validarItem; CalendarioPort.sumarDiasHabiles; importación de tablas oficiales; evento catalogo.actualizado; componente &lt;ui-catalogo-select&gt;</t>
  </si>
  <si>
    <t>Parámetros jerárquicos</t>
  </si>
  <si>
    <t>ParametroPort.valor(codigo, contexto) con origen; API de valores por alcance e historial; evento parametro.cambiado</t>
  </si>
  <si>
    <t>Correlativos y series</t>
  </si>
  <si>
    <t>CorrelativoPort.siguiente(empresa, tipo, serie) transaccional; API de series; reserva de bloques offline para el agente local</t>
  </si>
  <si>
    <t>TR-PER</t>
  </si>
  <si>
    <t>Personas</t>
  </si>
  <si>
    <t>PersonaPort (buscar, registrar, asignarRol, consentimientos); eventos persona.registrada, persona.actualizada, persona.fusionada, consentimiento.revocado; componente &lt;ui-persona-buscador&gt;</t>
  </si>
  <si>
    <t>Identidad e interoperabilidad</t>
  </si>
  <si>
    <t>IdentidadPort.validar/consultar(tipo, numero, motivo) con caché y cuota; API de identidad portable (solicitar, confirmar, datos autorizados, revocar)</t>
  </si>
  <si>
    <t>TR-FE</t>
  </si>
  <si>
    <t>Facturación electrónica</t>
  </si>
  <si>
    <t>ComprobantePort.emitir (01, 03, 07, 08), resumen diario, baja, PDF/ticket, consulta pública; workers de envío y contingencia; eventos cpe.emitido, cpe.aceptado, cpe.rechazado, cpe.nota_emitida</t>
  </si>
  <si>
    <t>TR-PAG</t>
  </si>
  <si>
    <t>Pagos</t>
  </si>
  <si>
    <t>Webhook</t>
  </si>
  <si>
    <t>PagoPort (intención, Yape/Plin, link, reembolso, recurrente); POST /v1/pagos/webhooks/{pasarela}; conciliación; eventos pago.confirmado, pago.fallido, reembolso.confirmado, cobro_recurrente.fallido; componente &lt;ui-checkout&gt;</t>
  </si>
  <si>
    <t>Notificaciones</t>
  </si>
  <si>
    <t>NotificacionPort.enviar/programar/cancelar; plantillas por canal; preferencias y bajas; callbacks de estado de proveedores; centro de notificaciones Socket.IO</t>
  </si>
  <si>
    <t>TR-ARC</t>
  </si>
  <si>
    <t>Archivos</t>
  </si>
  <si>
    <t>ArchivoPort (URL firmada de carga, versión, URL firmada de descarga, retención); evento archivo.disponible; componente &lt;ui-archivo-carga&gt;</t>
  </si>
  <si>
    <t>Auditoría</t>
  </si>
  <si>
    <t>Interceptor @Auditable y AuditoriaPort (registrar, registrarAccesoSensible); visor y exportación; verificación de integridad; API ARCO e incidentes; eventos arco.solicitado, persona.cancelacion_aprobada</t>
  </si>
  <si>
    <t>Eventos de dominio</t>
  </si>
  <si>
    <t>Evento</t>
  </si>
  <si>
    <t>EventoPort.publicar (outbox transaccional), decorador @SuscribirEvento, registro de esquemas, despachador BullMQ, cola de fallidos y reproceso; sync.read_events</t>
  </si>
  <si>
    <t>TR-REP</t>
  </si>
  <si>
    <t>Reportes y tableros</t>
  </si>
  <si>
    <t>Motor de reportes declarados en manifiesto (ejecutar, exportar XLSX/PDF/CSV, programar); tableros por rol</t>
  </si>
  <si>
    <t>TR-IA</t>
  </si>
  <si>
    <t>Servicios de IA</t>
  </si>
  <si>
    <t>IaPort por caso de uso vía pasarela de modelos; enmascaramiento de datos personales; extracción documental; RAG por tenant; orquestador de agentes; medición de consumo</t>
  </si>
  <si>
    <t>Observabilidad</t>
  </si>
  <si>
    <t>Vista SQL</t>
  </si>
  <si>
    <t>Registro de indicadores por minuto desde eventos (obs.registrar); reglas y evaluación de alertas; vista obs.v_salud_sucursal; trazas OpenTelemetry</t>
  </si>
  <si>
    <t>TR-SOP</t>
  </si>
  <si>
    <t>Centro de soporte</t>
  </si>
  <si>
    <t>Librería Angular</t>
  </si>
  <si>
    <t>API de tickets (sop.crear_ticket, cambiar_estado, crear_desde_alerta, resolver_problema); vistas v_evento_cliente y v_tablero_sla; librería Angular soporte-widget</t>
  </si>
  <si>
    <t>TR-CMS</t>
  </si>
  <si>
    <t>Gestor de contenidos web</t>
  </si>
  <si>
    <t>Administración de sitio, páginas por bloques, menús, medios, noticias, SEO y formularios; renderizado SSR con caché CDN; evento cms.pagina_publicada</t>
  </si>
  <si>
    <t>TR-POR</t>
  </si>
  <si>
    <t>Portal del cliente final</t>
  </si>
  <si>
    <t>Librería portal-shell: registro, OTP, perfil, consentimientos, mis transacciones (contribuciones por producto), mis autorizaciones</t>
  </si>
  <si>
    <t>TR-INT</t>
  </si>
  <si>
    <t>Integración externa</t>
  </si>
  <si>
    <t>API pública /v1 con OAuth2 client_credentials y límites por plan; webhooks salientes firmados; sincronización por cursor con conciliación; cliente GitHub para problemas</t>
  </si>
  <si>
    <t>TR-EDGE</t>
  </si>
  <si>
    <t>Agente plataforma-edge: enrolamiento, impresión ESC/POS y cajón, cola offline cifrada, caché local, latido y actualización remota; canal Socket.IO con la nube</t>
  </si>
  <si>
    <t>NU-POS</t>
  </si>
  <si>
    <t>Núcleo POS</t>
  </si>
  <si>
    <t>No utilizado por este sistema</t>
  </si>
  <si>
    <t>NU-AGE</t>
  </si>
  <si>
    <t>Núcleo Agenda y Turnos</t>
  </si>
  <si>
    <t>NU-DOC</t>
  </si>
  <si>
    <t>Núcleo documental</t>
  </si>
  <si>
    <t>Leyenda de módulos</t>
  </si>
  <si>
    <t>Uso declarado por cada sistema en su especificación (C = consume, I = integra, E = extiende, P = publica eventos).</t>
  </si>
  <si>
    <t>REST</t>
  </si>
  <si>
    <t>PSI</t>
  </si>
  <si>
    <t>COL</t>
  </si>
  <si>
    <t>LIB</t>
  </si>
  <si>
    <t>GYM</t>
  </si>
  <si>
    <t>CLI</t>
  </si>
  <si>
    <t>DOC</t>
  </si>
  <si>
    <t>ECO</t>
  </si>
  <si>
    <t>LEX</t>
  </si>
  <si>
    <t>N.° sistemas</t>
  </si>
  <si>
    <t>Forma de integración</t>
  </si>
  <si>
    <t>C</t>
  </si>
  <si>
    <t>Módulo NestJS OrgModule (contexto tenant/empresa/sucursal en cada request) + rutas de administración embebidas en &lt;cod&gt;-backoffice</t>
  </si>
  <si>
    <t>I</t>
  </si>
  <si>
    <t>E</t>
  </si>
  <si>
    <t>Guard NestJS @RequierePermiso('producto.recurso.accion') + librería Angular seguridad-cliente (OIDC, menú por permisos, directiva *siPermiso)</t>
  </si>
  <si>
    <t>API GET /v1/catalogos/{codigo}/items con ETag + puerto CatalogoPort.validarItem() + componente Angular &lt;ui-catalogo-select&gt;</t>
  </si>
  <si>
    <t>Puerto ParametroPort.valor(codigo, contexto) con caché Redis; parámetros declarados en el manifiesto del producto</t>
  </si>
  <si>
    <t>Puerto CorrelativoPort.siguiente(empresa, tipo, serie) dentro de la transacción del producto (comprobantes, tickets, expedientes, historias, kardex)</t>
  </si>
  <si>
    <t>Puerto PersonaPort (buscar, registrar, asignar rol de persona) + componente Angular &lt;ui-persona-buscador&gt;; cada producto guarda solo persona_id</t>
  </si>
  <si>
    <t>Puerto IdentidadPort.consultar(tipo, numero, motivo) invocado al registrar personas o emitir comprobantes; nivel 3 en PSI, CLI, GYM y LEX</t>
  </si>
  <si>
    <t>Puerto ComprobantePort.emitir() y eventos cpe.aceptado / cpe.rechazado; consulta pública de comprobantes en &lt;cod&gt;-web</t>
  </si>
  <si>
    <t>Puerto PagoPort (intención, link, reembolso, recurrencia) y eventos pago.confirmado / pago.fallido; componente Angular &lt;ui-checkout&gt;</t>
  </si>
  <si>
    <t>Puerto NotificacionPort.enviar/programar con plantillas por código; centro de notificaciones en el shell de backoffice y del portal</t>
  </si>
  <si>
    <t>Puerto ArchivoPort (subir, versionar, url firmada) + componente Angular &lt;ui-archivo-carga&gt;</t>
  </si>
  <si>
    <t>P</t>
  </si>
  <si>
    <t>Interceptor NestJS @Auditable y puerto AuditoriaPort.registrarAccesoSensible(); visor de auditoría embebido en el backoffice</t>
  </si>
  <si>
    <t>Puerto EventoPort.publicar() en la misma transacción (outbox) y decorador @SuscribirEvento para consumidores idempotentes</t>
  </si>
  <si>
    <t>Reportes declarados en el manifiesto del producto (consulta parametrizada + permiso) ejecutados por el motor común; tableros por rol</t>
  </si>
  <si>
    <t>Puerto IaPort por caso de uso (extraer, clasificar, resumir, responder, predecir) vía pasarela de modelos; copiloto analítico en todos y agente conversacional en REST PSI COL GYM CLI DOC ECO LEX</t>
  </si>
  <si>
    <t>Indicadores de negocio declarados en el manifiesto y alimentados por eventos; trazas OpenTelemetry automáticas en la API</t>
  </si>
  <si>
    <t>Widget Angular soporte-widget en el shell de backoffice (crea tickets con contexto) y tickets automáticos desde alertas</t>
  </si>
  <si>
    <t>Administración del sitio en plataforma-admin-cliente y renderizado SSR de páginas por bloques en &lt;cod&gt;-web</t>
  </si>
  <si>
    <t>Librería portal-shell montada en &lt;cod&gt;-web: registro, acceso OTP, perfil, consentimientos; cada producto aporta sus vistas (mis citas, mis pedidos, mis trámites)</t>
  </si>
  <si>
    <t>API pública /v1 por producto con clientes OAuth2 y webhooks salientes; sincronización por cursor con bases institucionales en COL y DOC</t>
  </si>
  <si>
    <t>Agente local plataforma-edge con plugins por producto: impresión de comandas y tickets, cola offline, kiosco y pantallas de llamado, control de acceso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</si>
</sst>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1"/>
      <color rgb="FF2E5597"/>
      <name val="Arial"/>
      <family val="2"/>
    </font>
    <font>
      <b/>
      <sz val="20"/>
      <color rgb="FF1F3864"/>
      <name val="Arial"/>
      <family val="2"/>
    </font>
    <font>
      <sz val="10"/>
      <color rgb="FF444444"/>
      <name val="Arial"/>
      <family val="2"/>
    </font>
    <font>
      <b/>
      <sz val="10"/>
      <name val="Arial"/>
      <family val="2"/>
    </font>
    <font>
      <sz val="10"/>
      <name val="Arial"/>
      <family val="2"/>
    </font>
    <font>
      <b/>
      <sz val="12"/>
      <color rgb="FF1F3864"/>
      <name val="Arial"/>
      <family val="2"/>
    </font>
    <font>
      <u/>
      <sz val="10"/>
      <color rgb="FF0563C1"/>
      <name val="Arial"/>
      <family val="2"/>
    </font>
    <font>
      <b/>
      <sz val="14"/>
      <color rgb="FF1F3864"/>
      <name val="Arial"/>
      <family val="2"/>
    </font>
    <font>
      <i/>
      <sz val="9"/>
      <color rgb="FF555555"/>
      <name val="Arial"/>
      <family val="2"/>
    </font>
    <font>
      <b/>
      <sz val="10"/>
      <color rgb="FFFFFFFF"/>
      <name val="Arial"/>
      <family val="2"/>
    </font>
    <font>
      <sz val="9"/>
      <name val="Arial"/>
      <family val="2"/>
    </font>
    <font>
      <sz val="9"/>
      <color rgb="FF999999"/>
      <name val="Arial"/>
      <family val="2"/>
    </font>
  </fonts>
  <fills count="6">
    <fill>
      <patternFill patternType="none"/>
    </fill>
    <fill>
      <patternFill patternType="gray125"/>
    </fill>
    <fill>
      <patternFill patternType="solid">
        <fgColor rgb="FF1F3864"/>
        <bgColor rgb="FF444444"/>
      </patternFill>
    </fill>
    <fill>
      <patternFill patternType="solid">
        <fgColor rgb="FFF6F8FB"/>
        <bgColor rgb="FFFFFFFF"/>
      </patternFill>
    </fill>
    <fill>
      <patternFill patternType="solid">
        <fgColor rgb="FFFFF4D6"/>
        <bgColor rgb="FFF6F8FB"/>
      </patternFill>
    </fill>
    <fill>
      <patternFill patternType="solid">
        <fgColor rgb="FFDCE3F0"/>
        <bgColor rgb="FFD9F2E3"/>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4" fillId="0" borderId="0" xfId="0" applyFont="1"/>
    <xf numFmtId="0" fontId="5" fillId="0" borderId="0" xfId="0" applyFont="1" applyAlignment="1">
      <alignment vertical="top" wrapText="1"/>
    </xf>
    <xf numFmtId="0" fontId="6" fillId="0" borderId="0" xfId="0" applyFont="1"/>
    <xf numFmtId="0" fontId="5" fillId="0" borderId="0" xfId="0" applyFont="1"/>
    <xf numFmtId="0" fontId="4" fillId="0" borderId="0" xfId="0" applyFont="1" applyAlignment="1">
      <alignment horizontal="left"/>
    </xf>
    <xf numFmtId="0" fontId="7" fillId="0" borderId="0" xfId="0" applyFont="1"/>
    <xf numFmtId="0" fontId="8" fillId="0" borderId="0" xfId="0" applyFont="1"/>
    <xf numFmtId="0" fontId="9" fillId="0" borderId="0" xfId="0" applyFont="1"/>
    <xf numFmtId="0" fontId="10" fillId="2" borderId="1"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5" fillId="3" borderId="1" xfId="0" applyFont="1" applyFill="1" applyBorder="1" applyAlignment="1">
      <alignment horizontal="center" vertical="top" wrapText="1"/>
    </xf>
    <xf numFmtId="0" fontId="5" fillId="3" borderId="1" xfId="0" applyFont="1" applyFill="1" applyBorder="1" applyAlignment="1">
      <alignment vertical="top" wrapText="1"/>
    </xf>
    <xf numFmtId="0" fontId="11" fillId="0" borderId="1" xfId="0" applyFont="1" applyBorder="1" applyAlignment="1">
      <alignment horizontal="center" vertical="top" wrapText="1"/>
    </xf>
    <xf numFmtId="0" fontId="11" fillId="0" borderId="1" xfId="0" applyFont="1" applyBorder="1" applyAlignment="1">
      <alignment vertical="top" wrapText="1"/>
    </xf>
    <xf numFmtId="0" fontId="11" fillId="3" borderId="1" xfId="0" applyFont="1" applyFill="1" applyBorder="1" applyAlignment="1">
      <alignment horizontal="center" vertical="top" wrapText="1"/>
    </xf>
    <xf numFmtId="0" fontId="11" fillId="3" borderId="1" xfId="0" applyFont="1" applyFill="1" applyBorder="1" applyAlignment="1">
      <alignment vertical="top" wrapText="1"/>
    </xf>
    <xf numFmtId="0" fontId="11" fillId="4" borderId="1" xfId="0" applyFont="1" applyFill="1" applyBorder="1" applyAlignment="1">
      <alignment horizontal="center" vertical="top" wrapText="1"/>
    </xf>
    <xf numFmtId="0" fontId="11" fillId="4" borderId="1" xfId="0" applyFont="1" applyFill="1" applyBorder="1" applyAlignment="1">
      <alignment vertical="top" wrapText="1"/>
    </xf>
    <xf numFmtId="0" fontId="4" fillId="5" borderId="0" xfId="0" applyFont="1" applyFill="1" applyAlignment="1">
      <alignment horizontal="center" vertical="top" wrapText="1"/>
    </xf>
    <xf numFmtId="0" fontId="11" fillId="0" borderId="0" xfId="0" applyFont="1"/>
    <xf numFmtId="0" fontId="10" fillId="2" borderId="1" xfId="0" applyFont="1" applyFill="1" applyBorder="1" applyAlignment="1">
      <alignment horizontal="center" textRotation="90"/>
    </xf>
    <xf numFmtId="0" fontId="12" fillId="0" borderId="1" xfId="0" applyFont="1" applyBorder="1" applyAlignment="1">
      <alignment horizontal="center" vertical="top" wrapText="1"/>
    </xf>
    <xf numFmtId="0" fontId="12" fillId="0" borderId="1" xfId="0" applyFont="1" applyBorder="1" applyAlignment="1">
      <alignment vertical="top"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textRotation="90"/>
    </xf>
    <xf numFmtId="0" fontId="3" fillId="0" borderId="0" xfId="0" applyFont="1" applyAlignment="1">
      <alignment vertical="top" wrapText="1"/>
    </xf>
  </cellXfs>
  <cellStyles count="1">
    <cellStyle name="Normal" xfId="0" builtinId="0"/>
  </cellStyles>
  <dxfs count="3">
    <dxf>
      <fill>
        <patternFill>
          <bgColor rgb="FFF8D7DA"/>
        </patternFill>
      </fill>
    </dxf>
    <dxf>
      <fill>
        <patternFill>
          <bgColor rgb="FFD9F2E3"/>
        </patternFill>
      </fill>
    </dxf>
    <dxf>
      <font>
        <b/>
        <sz val="9"/>
        <color rgb="FFA3303B"/>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0D0"/>
      <rgbColor rgb="FF808080"/>
      <rgbColor rgb="FF9999FF"/>
      <rgbColor rgb="FFA3303B"/>
      <rgbColor rgb="FFFFF4D6"/>
      <rgbColor rgb="FFF6F8FB"/>
      <rgbColor rgb="FF660066"/>
      <rgbColor rgb="FFFF8080"/>
      <rgbColor rgb="FF0563C1"/>
      <rgbColor rgb="FFDCE3F0"/>
      <rgbColor rgb="FF000080"/>
      <rgbColor rgb="FFFF00FF"/>
      <rgbColor rgb="FFFFFF00"/>
      <rgbColor rgb="FF00FFFF"/>
      <rgbColor rgb="FF800080"/>
      <rgbColor rgb="FF800000"/>
      <rgbColor rgb="FF008080"/>
      <rgbColor rgb="FF0000FF"/>
      <rgbColor rgb="FF00CCFF"/>
      <rgbColor rgb="FFCCFFFF"/>
      <rgbColor rgb="FFD9F2E3"/>
      <rgbColor rgb="FFFFFF99"/>
      <rgbColor rgb="FF99CCFF"/>
      <rgbColor rgb="FFFF99CC"/>
      <rgbColor rgb="FFCC99FF"/>
      <rgbColor rgb="FFF8D7DA"/>
      <rgbColor rgb="FF3366FF"/>
      <rgbColor rgb="FF33CCCC"/>
      <rgbColor rgb="FF99CC00"/>
      <rgbColor rgb="FFFFCC00"/>
      <rgbColor rgb="FFFF9900"/>
      <rgbColor rgb="FFFF6600"/>
      <rgbColor rgb="FF555555"/>
      <rgbColor rgb="FF999999"/>
      <rgbColor rgb="FF1F3864"/>
      <rgbColor rgb="FF339966"/>
      <rgbColor rgb="FF003300"/>
      <rgbColor rgb="FF333300"/>
      <rgbColor rgb="FFC2410C"/>
      <rgbColor rgb="FF993366"/>
      <rgbColor rgb="FF2E5597"/>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SRS_TR_Componentes_Transversales.xlsx" TargetMode="External"/><Relationship Id="rId13" Type="http://schemas.openxmlformats.org/officeDocument/2006/relationships/hyperlink" Target="SRS_TR_Componentes_Transversales.xlsx" TargetMode="External"/><Relationship Id="rId3" Type="http://schemas.openxmlformats.org/officeDocument/2006/relationships/hyperlink" Target="SRS_TR_Componentes_Transversales.xlsx" TargetMode="External"/><Relationship Id="rId7" Type="http://schemas.openxmlformats.org/officeDocument/2006/relationships/hyperlink" Target="SRS_TR_Componentes_Transversales.xlsx" TargetMode="External"/><Relationship Id="rId12" Type="http://schemas.openxmlformats.org/officeDocument/2006/relationships/hyperlink" Target="SRS_TR_Componentes_Transversales.xlsx" TargetMode="External"/><Relationship Id="rId2" Type="http://schemas.openxmlformats.org/officeDocument/2006/relationships/hyperlink" Target="SRS_TR_Componentes_Transversales.xlsx" TargetMode="External"/><Relationship Id="rId1" Type="http://schemas.openxmlformats.org/officeDocument/2006/relationships/hyperlink" Target="SRS_TR_Componentes_Transversales.xlsx" TargetMode="External"/><Relationship Id="rId6" Type="http://schemas.openxmlformats.org/officeDocument/2006/relationships/hyperlink" Target="SRS_TR_Componentes_Transversales.xlsx" TargetMode="External"/><Relationship Id="rId11" Type="http://schemas.openxmlformats.org/officeDocument/2006/relationships/hyperlink" Target="SRS_TR_Componentes_Transversales.xlsx" TargetMode="External"/><Relationship Id="rId5" Type="http://schemas.openxmlformats.org/officeDocument/2006/relationships/hyperlink" Target="SRS_TR_Componentes_Transversales.xlsx" TargetMode="External"/><Relationship Id="rId10" Type="http://schemas.openxmlformats.org/officeDocument/2006/relationships/hyperlink" Target="SRS_TR_Componentes_Transversales.xlsx" TargetMode="External"/><Relationship Id="rId4" Type="http://schemas.openxmlformats.org/officeDocument/2006/relationships/hyperlink" Target="SRS_TR_Componentes_Transversales.xlsx" TargetMode="External"/><Relationship Id="rId9" Type="http://schemas.openxmlformats.org/officeDocument/2006/relationships/hyperlink" Target="SRS_TR_Componentes_Transversale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B47"/>
  <sheetViews>
    <sheetView showGridLines="0" topLeftCell="A24" zoomScaleNormal="100" workbookViewId="0">
      <selection activeCell="A3" sqref="A3:B3"/>
    </sheetView>
  </sheetViews>
  <sheetFormatPr baseColWidth="10" defaultColWidth="8.7109375" defaultRowHeight="15" x14ac:dyDescent="0.25"/>
  <cols>
    <col min="1" max="1" width="34" customWidth="1"/>
    <col min="2" max="2" width="95" customWidth="1"/>
  </cols>
  <sheetData>
    <row r="1" spans="1:2" x14ac:dyDescent="0.25">
      <c r="A1" s="1" t="s">
        <v>0</v>
      </c>
    </row>
    <row r="2" spans="1:2" ht="26.25" x14ac:dyDescent="0.4">
      <c r="A2" s="2" t="s">
        <v>1</v>
      </c>
    </row>
    <row r="3" spans="1:2" ht="81" customHeight="1" x14ac:dyDescent="0.25">
      <c r="A3" s="29" t="s">
        <v>2</v>
      </c>
      <c r="B3" s="29"/>
    </row>
    <row r="5" spans="1:2" x14ac:dyDescent="0.25">
      <c r="A5" s="3" t="s">
        <v>3</v>
      </c>
      <c r="B5" s="4" t="s">
        <v>4</v>
      </c>
    </row>
    <row r="6" spans="1:2" x14ac:dyDescent="0.25">
      <c r="A6" s="3" t="s">
        <v>5</v>
      </c>
      <c r="B6" s="4" t="s">
        <v>6</v>
      </c>
    </row>
    <row r="7" spans="1:2" x14ac:dyDescent="0.25">
      <c r="A7" s="3" t="s">
        <v>7</v>
      </c>
      <c r="B7" s="4" t="s">
        <v>8</v>
      </c>
    </row>
    <row r="8" spans="1:2" ht="25.5" x14ac:dyDescent="0.25">
      <c r="A8" s="3" t="s">
        <v>9</v>
      </c>
      <c r="B8" s="4" t="s">
        <v>10</v>
      </c>
    </row>
    <row r="9" spans="1:2" ht="25.5" x14ac:dyDescent="0.25">
      <c r="A9" s="3" t="s">
        <v>11</v>
      </c>
      <c r="B9" s="4" t="s">
        <v>12</v>
      </c>
    </row>
    <row r="11" spans="1:2" ht="15.75" x14ac:dyDescent="0.25">
      <c r="A11" s="5" t="s">
        <v>13</v>
      </c>
    </row>
    <row r="12" spans="1:2" x14ac:dyDescent="0.25">
      <c r="A12" s="6" t="s">
        <v>14</v>
      </c>
      <c r="B12" s="7">
        <f>COUNTA(Aplicaciones!A:A)-3</f>
        <v>5</v>
      </c>
    </row>
    <row r="13" spans="1:2" x14ac:dyDescent="0.25">
      <c r="A13" s="6" t="s">
        <v>15</v>
      </c>
      <c r="B13" s="7">
        <f>COUNTA(Módulos!A:A)-3</f>
        <v>21</v>
      </c>
    </row>
    <row r="14" spans="1:2" x14ac:dyDescent="0.25">
      <c r="A14" s="6" t="s">
        <v>16</v>
      </c>
      <c r="B14" s="7">
        <f>COUNTA(Actores!A:A)-3</f>
        <v>18</v>
      </c>
    </row>
    <row r="15" spans="1:2" x14ac:dyDescent="0.25">
      <c r="A15" s="6" t="s">
        <v>17</v>
      </c>
      <c r="B15" s="7">
        <f>COUNTA(Procesos!A:A)-3</f>
        <v>13</v>
      </c>
    </row>
    <row r="16" spans="1:2" x14ac:dyDescent="0.25">
      <c r="A16" s="6" t="s">
        <v>18</v>
      </c>
      <c r="B16" s="7">
        <f>COUNTA('Reglas de negocio'!A:A)-3</f>
        <v>48</v>
      </c>
    </row>
    <row r="17" spans="1:2" x14ac:dyDescent="0.25">
      <c r="A17" s="6" t="s">
        <v>19</v>
      </c>
      <c r="B17" s="7">
        <f>COUNTA(RF!A:A)-3</f>
        <v>138</v>
      </c>
    </row>
    <row r="18" spans="1:2" x14ac:dyDescent="0.25">
      <c r="A18" s="6" t="s">
        <v>20</v>
      </c>
      <c r="B18" s="7">
        <f>COUNTIF(RF!M:M,"Must")</f>
        <v>97</v>
      </c>
    </row>
    <row r="19" spans="1:2" x14ac:dyDescent="0.25">
      <c r="A19" s="6" t="s">
        <v>21</v>
      </c>
      <c r="B19" s="7">
        <f>COUNTIF(RF!N:N,"MVP")</f>
        <v>110</v>
      </c>
    </row>
    <row r="20" spans="1:2" x14ac:dyDescent="0.25">
      <c r="A20" s="6" t="s">
        <v>22</v>
      </c>
      <c r="B20" s="7">
        <f>COUNTA('Criterios GWT'!A:A)-3</f>
        <v>338</v>
      </c>
    </row>
    <row r="21" spans="1:2" x14ac:dyDescent="0.25">
      <c r="A21" s="6" t="s">
        <v>23</v>
      </c>
      <c r="B21" s="7">
        <f>COUNTIF(RNF!B:B,"Propio")</f>
        <v>28</v>
      </c>
    </row>
    <row r="22" spans="1:2" x14ac:dyDescent="0.25">
      <c r="A22" s="6" t="s">
        <v>24</v>
      </c>
      <c r="B22" s="7">
        <f>COUNTIF(RNF!B:B,"Plataforma")</f>
        <v>30</v>
      </c>
    </row>
    <row r="23" spans="1:2" x14ac:dyDescent="0.25">
      <c r="A23" s="6" t="s">
        <v>25</v>
      </c>
      <c r="B23" s="7">
        <f>COUNTIF(Componentes!C:C,"&lt;&gt;")-1</f>
        <v>21</v>
      </c>
    </row>
    <row r="25" spans="1:2" ht="15.75" x14ac:dyDescent="0.25">
      <c r="A25" s="5" t="s">
        <v>26</v>
      </c>
    </row>
    <row r="26" spans="1:2" x14ac:dyDescent="0.25">
      <c r="A26" s="8" t="s">
        <v>27</v>
      </c>
      <c r="B26" s="6" t="s">
        <v>28</v>
      </c>
    </row>
    <row r="27" spans="1:2" x14ac:dyDescent="0.25">
      <c r="A27" s="8" t="s">
        <v>15</v>
      </c>
      <c r="B27" s="6" t="s">
        <v>29</v>
      </c>
    </row>
    <row r="28" spans="1:2" x14ac:dyDescent="0.25">
      <c r="A28" s="8" t="s">
        <v>16</v>
      </c>
      <c r="B28" s="6" t="s">
        <v>30</v>
      </c>
    </row>
    <row r="29" spans="1:2" x14ac:dyDescent="0.25">
      <c r="A29" s="8" t="s">
        <v>31</v>
      </c>
      <c r="B29" s="6" t="s">
        <v>32</v>
      </c>
    </row>
    <row r="30" spans="1:2" x14ac:dyDescent="0.25">
      <c r="A30" s="8" t="s">
        <v>18</v>
      </c>
      <c r="B30" s="6" t="s">
        <v>33</v>
      </c>
    </row>
    <row r="31" spans="1:2" x14ac:dyDescent="0.25">
      <c r="A31" s="8" t="s">
        <v>34</v>
      </c>
      <c r="B31" s="6" t="s">
        <v>35</v>
      </c>
    </row>
    <row r="32" spans="1:2" x14ac:dyDescent="0.25">
      <c r="A32" s="8" t="s">
        <v>36</v>
      </c>
      <c r="B32" s="6" t="s">
        <v>37</v>
      </c>
    </row>
    <row r="33" spans="1:2" x14ac:dyDescent="0.25">
      <c r="A33" s="8" t="s">
        <v>38</v>
      </c>
      <c r="B33" s="6" t="s">
        <v>39</v>
      </c>
    </row>
    <row r="34" spans="1:2" x14ac:dyDescent="0.25">
      <c r="A34" s="8" t="s">
        <v>40</v>
      </c>
      <c r="B34" s="6" t="s">
        <v>41</v>
      </c>
    </row>
    <row r="35" spans="1:2" x14ac:dyDescent="0.25">
      <c r="A35" s="8" t="s">
        <v>42</v>
      </c>
      <c r="B35" s="6" t="s">
        <v>43</v>
      </c>
    </row>
    <row r="36" spans="1:2" x14ac:dyDescent="0.25">
      <c r="A36" s="8" t="s">
        <v>44</v>
      </c>
      <c r="B36" s="6" t="s">
        <v>45</v>
      </c>
    </row>
    <row r="37" spans="1:2" x14ac:dyDescent="0.25">
      <c r="A37" s="8" t="s">
        <v>46</v>
      </c>
      <c r="B37" s="6" t="s">
        <v>47</v>
      </c>
    </row>
    <row r="38" spans="1:2" x14ac:dyDescent="0.25">
      <c r="A38" s="8" t="s">
        <v>48</v>
      </c>
      <c r="B38" s="6" t="s">
        <v>49</v>
      </c>
    </row>
    <row r="40" spans="1:2" ht="15.75" x14ac:dyDescent="0.25">
      <c r="A40" s="5" t="s">
        <v>50</v>
      </c>
    </row>
    <row r="41" spans="1:2" x14ac:dyDescent="0.25">
      <c r="A41" s="3" t="s">
        <v>51</v>
      </c>
      <c r="B41" s="4" t="s">
        <v>52</v>
      </c>
    </row>
    <row r="42" spans="1:2" x14ac:dyDescent="0.25">
      <c r="A42" s="3" t="s">
        <v>53</v>
      </c>
      <c r="B42" s="4" t="s">
        <v>54</v>
      </c>
    </row>
    <row r="43" spans="1:2" x14ac:dyDescent="0.25">
      <c r="A43" s="3" t="s">
        <v>55</v>
      </c>
      <c r="B43" s="4" t="s">
        <v>56</v>
      </c>
    </row>
    <row r="44" spans="1:2" ht="25.5" x14ac:dyDescent="0.25">
      <c r="A44" s="3" t="s">
        <v>57</v>
      </c>
      <c r="B44" s="4" t="s">
        <v>58</v>
      </c>
    </row>
    <row r="45" spans="1:2" x14ac:dyDescent="0.25">
      <c r="A45" s="3" t="s">
        <v>59</v>
      </c>
      <c r="B45" s="4" t="s">
        <v>60</v>
      </c>
    </row>
    <row r="46" spans="1:2" ht="25.5" x14ac:dyDescent="0.25">
      <c r="A46" s="3" t="s">
        <v>46</v>
      </c>
      <c r="B46" s="4" t="s">
        <v>61</v>
      </c>
    </row>
    <row r="47" spans="1:2" ht="25.5" x14ac:dyDescent="0.25">
      <c r="A47" s="3" t="s">
        <v>62</v>
      </c>
      <c r="B47" s="4" t="s">
        <v>63</v>
      </c>
    </row>
  </sheetData>
  <mergeCells count="1">
    <mergeCell ref="A3:B3"/>
  </mergeCells>
  <hyperlinks>
    <hyperlink ref="A26" r:id="rId1" location="'Aplicaciones'!A1" xr:uid="{00000000-0004-0000-0000-000000000000}"/>
    <hyperlink ref="A27" r:id="rId2" location="'Módulos'!A1" xr:uid="{00000000-0004-0000-0000-000001000000}"/>
    <hyperlink ref="A28" r:id="rId3" location="'Actores'!A1" xr:uid="{00000000-0004-0000-0000-000002000000}"/>
    <hyperlink ref="A29" r:id="rId4" location="'Procesos'!A1" xr:uid="{00000000-0004-0000-0000-000003000000}"/>
    <hyperlink ref="A30" r:id="rId5" location="'Reglas%20de%20negocio'!A1" xr:uid="{00000000-0004-0000-0000-000004000000}"/>
    <hyperlink ref="A31" r:id="rId6" location="'RF'!A1" xr:uid="{00000000-0004-0000-0000-000005000000}"/>
    <hyperlink ref="A32" r:id="rId7" location="'Criterios%20GWT'!A1" xr:uid="{00000000-0004-0000-0000-000006000000}"/>
    <hyperlink ref="A33" r:id="rId8" location="'RNF'!A1" xr:uid="{00000000-0004-0000-0000-000007000000}"/>
    <hyperlink ref="A34" r:id="rId9" location="'Matriz%20Proceso-RF'!A1" xr:uid="{00000000-0004-0000-0000-000008000000}"/>
    <hyperlink ref="A35" r:id="rId10" location="'Matriz%20RF-RNF'!A1" xr:uid="{00000000-0004-0000-0000-000009000000}"/>
    <hyperlink ref="A36" r:id="rId11" location="'Trazabilidad'!A1" xr:uid="{00000000-0004-0000-0000-00000A000000}"/>
    <hyperlink ref="A37" r:id="rId12" location="'Componentes'!A1" xr:uid="{00000000-0004-0000-0000-00000B000000}"/>
    <hyperlink ref="A38" r:id="rId13" location="'Consumidores'!A1" xr:uid="{00000000-0004-0000-0000-00000C000000}"/>
  </hyperlink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G8"/>
  <sheetViews>
    <sheetView showGridLines="0" zoomScaleNormal="100" workbookViewId="0">
      <pane xSplit="1" ySplit="3" topLeftCell="B4" activePane="bottomRight" state="frozen"/>
      <selection pane="topRight" activeCell="B1" sqref="B1"/>
      <selection pane="bottomLeft" activeCell="A4" sqref="A4"/>
      <selection pane="bottomRight" activeCell="E6" sqref="E6"/>
    </sheetView>
  </sheetViews>
  <sheetFormatPr baseColWidth="10" defaultColWidth="8.7109375" defaultRowHeight="15" x14ac:dyDescent="0.25"/>
  <cols>
    <col min="1" max="1" width="11.7109375" customWidth="1"/>
    <col min="2" max="2" width="45.85546875" customWidth="1"/>
    <col min="3" max="3" width="16" customWidth="1"/>
    <col min="4" max="4" width="32" customWidth="1"/>
    <col min="5" max="5" width="28" customWidth="1"/>
    <col min="6" max="6" width="94.28515625" customWidth="1"/>
    <col min="7" max="7" width="8" customWidth="1"/>
  </cols>
  <sheetData>
    <row r="1" spans="1:7" ht="18" x14ac:dyDescent="0.25">
      <c r="A1" s="9" t="s">
        <v>64</v>
      </c>
    </row>
    <row r="2" spans="1:7" x14ac:dyDescent="0.25">
      <c r="A2" s="10" t="s">
        <v>65</v>
      </c>
    </row>
    <row r="3" spans="1:7" x14ac:dyDescent="0.25">
      <c r="A3" s="11" t="s">
        <v>66</v>
      </c>
      <c r="B3" s="11" t="s">
        <v>67</v>
      </c>
      <c r="C3" s="11" t="s">
        <v>68</v>
      </c>
      <c r="D3" s="11" t="s">
        <v>69</v>
      </c>
      <c r="E3" s="11" t="s">
        <v>70</v>
      </c>
      <c r="F3" s="11" t="s">
        <v>71</v>
      </c>
      <c r="G3" s="11" t="s">
        <v>72</v>
      </c>
    </row>
    <row r="4" spans="1:7" ht="38.25" x14ac:dyDescent="0.25">
      <c r="A4" s="12" t="s">
        <v>73</v>
      </c>
      <c r="B4" s="13" t="s">
        <v>74</v>
      </c>
      <c r="C4" s="13" t="s">
        <v>75</v>
      </c>
      <c r="D4" s="13" t="s">
        <v>76</v>
      </c>
      <c r="E4" s="13" t="s">
        <v>77</v>
      </c>
      <c r="F4" s="13" t="s">
        <v>78</v>
      </c>
      <c r="G4" s="12">
        <f>COUNTIF(RF!C:C,"APP-01*")</f>
        <v>23</v>
      </c>
    </row>
    <row r="5" spans="1:7" ht="51" x14ac:dyDescent="0.25">
      <c r="A5" s="14" t="s">
        <v>79</v>
      </c>
      <c r="B5" s="15" t="s">
        <v>80</v>
      </c>
      <c r="C5" s="15" t="s">
        <v>75</v>
      </c>
      <c r="D5" s="15" t="s">
        <v>81</v>
      </c>
      <c r="E5" s="15" t="s">
        <v>82</v>
      </c>
      <c r="F5" s="15" t="s">
        <v>83</v>
      </c>
      <c r="G5" s="14">
        <f>COUNTIF(RF!C:C,"APP-02*")</f>
        <v>43</v>
      </c>
    </row>
    <row r="6" spans="1:7" ht="38.25" x14ac:dyDescent="0.25">
      <c r="A6" s="12" t="s">
        <v>84</v>
      </c>
      <c r="B6" s="13" t="s">
        <v>85</v>
      </c>
      <c r="C6" s="13" t="s">
        <v>86</v>
      </c>
      <c r="D6" s="13" t="s">
        <v>87</v>
      </c>
      <c r="E6" s="13" t="s">
        <v>88</v>
      </c>
      <c r="F6" s="13" t="s">
        <v>89</v>
      </c>
      <c r="G6" s="12">
        <f>COUNTIF(RF!C:C,"APP-03*")</f>
        <v>55</v>
      </c>
    </row>
    <row r="7" spans="1:7" ht="38.25" x14ac:dyDescent="0.25">
      <c r="A7" s="14" t="s">
        <v>90</v>
      </c>
      <c r="B7" s="15" t="s">
        <v>91</v>
      </c>
      <c r="C7" s="15" t="s">
        <v>86</v>
      </c>
      <c r="D7" s="15" t="s">
        <v>92</v>
      </c>
      <c r="E7" s="15" t="s">
        <v>93</v>
      </c>
      <c r="F7" s="15" t="s">
        <v>94</v>
      </c>
      <c r="G7" s="14">
        <f>COUNTIF(RF!C:C,"APP-04*")</f>
        <v>4</v>
      </c>
    </row>
    <row r="8" spans="1:7" ht="38.25" x14ac:dyDescent="0.25">
      <c r="A8" s="12" t="s">
        <v>95</v>
      </c>
      <c r="B8" s="13" t="s">
        <v>96</v>
      </c>
      <c r="C8" s="13" t="s">
        <v>86</v>
      </c>
      <c r="D8" s="13" t="s">
        <v>97</v>
      </c>
      <c r="E8" s="13" t="s">
        <v>98</v>
      </c>
      <c r="F8" s="13" t="s">
        <v>99</v>
      </c>
      <c r="G8" s="12">
        <f>COUNTIF(RF!C:C,"APP-05*")</f>
        <v>13</v>
      </c>
    </row>
  </sheetData>
  <autoFilter ref="A3:G8" xr:uid="{00000000-0009-0000-0000-000001000000}"/>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E24"/>
  <sheetViews>
    <sheetView showGridLines="0" zoomScaleNormal="100" workbookViewId="0">
      <pane xSplit="1" ySplit="3" topLeftCell="B4" activePane="bottomRight" state="frozen"/>
      <selection pane="topRight" activeCell="B1" sqref="B1"/>
      <selection pane="bottomLeft" activeCell="A4" sqref="A4"/>
      <selection pane="bottomRight" activeCell="D24" sqref="D24"/>
    </sheetView>
  </sheetViews>
  <sheetFormatPr baseColWidth="10" defaultColWidth="8.7109375" defaultRowHeight="15" x14ac:dyDescent="0.25"/>
  <cols>
    <col min="1" max="1" width="9" customWidth="1"/>
    <col min="2" max="2" width="34.7109375" bestFit="1" customWidth="1"/>
    <col min="3" max="3" width="48.85546875" bestFit="1" customWidth="1"/>
    <col min="4" max="4" width="122.5703125" bestFit="1" customWidth="1"/>
    <col min="5" max="5" width="11.140625" bestFit="1" customWidth="1"/>
  </cols>
  <sheetData>
    <row r="1" spans="1:5" ht="18" x14ac:dyDescent="0.25">
      <c r="A1" s="9" t="s">
        <v>100</v>
      </c>
    </row>
    <row r="2" spans="1:5" x14ac:dyDescent="0.25">
      <c r="A2" s="10" t="s">
        <v>101</v>
      </c>
    </row>
    <row r="3" spans="1:5" x14ac:dyDescent="0.25">
      <c r="A3" s="11" t="s">
        <v>66</v>
      </c>
      <c r="B3" s="11" t="s">
        <v>102</v>
      </c>
      <c r="C3" s="11" t="s">
        <v>67</v>
      </c>
      <c r="D3" s="11" t="s">
        <v>71</v>
      </c>
      <c r="E3" s="11" t="s">
        <v>72</v>
      </c>
    </row>
    <row r="4" spans="1:5" x14ac:dyDescent="0.25">
      <c r="A4" s="12" t="s">
        <v>103</v>
      </c>
      <c r="B4" s="13" t="s">
        <v>104</v>
      </c>
      <c r="C4" s="13" t="s">
        <v>105</v>
      </c>
      <c r="D4" s="13" t="s">
        <v>106</v>
      </c>
      <c r="E4" s="12">
        <f>COUNTIF(RF!B:B,"MOD-01*")</f>
        <v>7</v>
      </c>
    </row>
    <row r="5" spans="1:5" x14ac:dyDescent="0.25">
      <c r="A5" s="14" t="s">
        <v>107</v>
      </c>
      <c r="B5" s="15" t="s">
        <v>108</v>
      </c>
      <c r="C5" s="15" t="s">
        <v>109</v>
      </c>
      <c r="D5" s="15" t="s">
        <v>110</v>
      </c>
      <c r="E5" s="14">
        <f>COUNTIF(RF!B:B,"MOD-02*")</f>
        <v>14</v>
      </c>
    </row>
    <row r="6" spans="1:5" x14ac:dyDescent="0.25">
      <c r="A6" s="12" t="s">
        <v>111</v>
      </c>
      <c r="B6" s="13" t="s">
        <v>112</v>
      </c>
      <c r="C6" s="13" t="s">
        <v>105</v>
      </c>
      <c r="D6" s="13" t="s">
        <v>113</v>
      </c>
      <c r="E6" s="12">
        <f>COUNTIF(RF!B:B,"MOD-03*")</f>
        <v>8</v>
      </c>
    </row>
    <row r="7" spans="1:5" x14ac:dyDescent="0.25">
      <c r="A7" s="14" t="s">
        <v>114</v>
      </c>
      <c r="B7" s="15" t="s">
        <v>115</v>
      </c>
      <c r="C7" s="15" t="s">
        <v>109</v>
      </c>
      <c r="D7" s="15" t="s">
        <v>116</v>
      </c>
      <c r="E7" s="14">
        <f>COUNTIF(RF!B:B,"MOD-04*")</f>
        <v>5</v>
      </c>
    </row>
    <row r="8" spans="1:5" x14ac:dyDescent="0.25">
      <c r="A8" s="12" t="s">
        <v>117</v>
      </c>
      <c r="B8" s="13" t="s">
        <v>118</v>
      </c>
      <c r="C8" s="13" t="s">
        <v>109</v>
      </c>
      <c r="D8" s="13" t="s">
        <v>119</v>
      </c>
      <c r="E8" s="12">
        <f>COUNTIF(RF!B:B,"MOD-05*")</f>
        <v>4</v>
      </c>
    </row>
    <row r="9" spans="1:5" x14ac:dyDescent="0.25">
      <c r="A9" s="14" t="s">
        <v>120</v>
      </c>
      <c r="B9" s="15" t="s">
        <v>121</v>
      </c>
      <c r="C9" s="15" t="s">
        <v>122</v>
      </c>
      <c r="D9" s="15" t="s">
        <v>123</v>
      </c>
      <c r="E9" s="14">
        <f>COUNTIF(RF!B:B,"MOD-06*")</f>
        <v>5</v>
      </c>
    </row>
    <row r="10" spans="1:5" x14ac:dyDescent="0.25">
      <c r="A10" s="12" t="s">
        <v>124</v>
      </c>
      <c r="B10" s="13" t="s">
        <v>125</v>
      </c>
      <c r="C10" s="13" t="s">
        <v>122</v>
      </c>
      <c r="D10" s="13" t="s">
        <v>126</v>
      </c>
      <c r="E10" s="12">
        <f>COUNTIF(RF!B:B,"MOD-07*")</f>
        <v>8</v>
      </c>
    </row>
    <row r="11" spans="1:5" x14ac:dyDescent="0.25">
      <c r="A11" s="14" t="s">
        <v>127</v>
      </c>
      <c r="B11" s="15" t="s">
        <v>128</v>
      </c>
      <c r="C11" s="15" t="s">
        <v>122</v>
      </c>
      <c r="D11" s="15" t="s">
        <v>129</v>
      </c>
      <c r="E11" s="14">
        <f>COUNTIF(RF!B:B,"MOD-08*")</f>
        <v>13</v>
      </c>
    </row>
    <row r="12" spans="1:5" x14ac:dyDescent="0.25">
      <c r="A12" s="12" t="s">
        <v>130</v>
      </c>
      <c r="B12" s="13" t="s">
        <v>131</v>
      </c>
      <c r="C12" s="13" t="s">
        <v>122</v>
      </c>
      <c r="D12" s="13" t="s">
        <v>132</v>
      </c>
      <c r="E12" s="12">
        <f>COUNTIF(RF!B:B,"MOD-09*")</f>
        <v>9</v>
      </c>
    </row>
    <row r="13" spans="1:5" x14ac:dyDescent="0.25">
      <c r="A13" s="14" t="s">
        <v>133</v>
      </c>
      <c r="B13" s="15" t="s">
        <v>134</v>
      </c>
      <c r="C13" s="15" t="s">
        <v>122</v>
      </c>
      <c r="D13" s="15" t="s">
        <v>135</v>
      </c>
      <c r="E13" s="14">
        <f>COUNTIF(RF!B:B,"MOD-10*")</f>
        <v>6</v>
      </c>
    </row>
    <row r="14" spans="1:5" x14ac:dyDescent="0.25">
      <c r="A14" s="12" t="s">
        <v>136</v>
      </c>
      <c r="B14" s="13" t="s">
        <v>137</v>
      </c>
      <c r="C14" s="13" t="s">
        <v>122</v>
      </c>
      <c r="D14" s="13" t="s">
        <v>138</v>
      </c>
      <c r="E14" s="12">
        <f>COUNTIF(RF!B:B,"MOD-11*")</f>
        <v>4</v>
      </c>
    </row>
    <row r="15" spans="1:5" x14ac:dyDescent="0.25">
      <c r="A15" s="14" t="s">
        <v>139</v>
      </c>
      <c r="B15" s="15" t="s">
        <v>140</v>
      </c>
      <c r="C15" s="15" t="s">
        <v>122</v>
      </c>
      <c r="D15" s="15" t="s">
        <v>141</v>
      </c>
      <c r="E15" s="14">
        <f>COUNTIF(RF!B:B,"MOD-12*")</f>
        <v>8</v>
      </c>
    </row>
    <row r="16" spans="1:5" x14ac:dyDescent="0.25">
      <c r="A16" s="12" t="s">
        <v>142</v>
      </c>
      <c r="B16" s="13" t="s">
        <v>143</v>
      </c>
      <c r="C16" s="13" t="s">
        <v>122</v>
      </c>
      <c r="D16" s="13" t="s">
        <v>144</v>
      </c>
      <c r="E16" s="12">
        <f>COUNTIF(RF!B:B,"MOD-13*")</f>
        <v>4</v>
      </c>
    </row>
    <row r="17" spans="1:5" x14ac:dyDescent="0.25">
      <c r="A17" s="14" t="s">
        <v>145</v>
      </c>
      <c r="B17" s="15" t="s">
        <v>146</v>
      </c>
      <c r="C17" s="15" t="s">
        <v>122</v>
      </c>
      <c r="D17" s="15" t="s">
        <v>147</v>
      </c>
      <c r="E17" s="14">
        <f>COUNTIF(RF!B:B,"MOD-14*")</f>
        <v>4</v>
      </c>
    </row>
    <row r="18" spans="1:5" x14ac:dyDescent="0.25">
      <c r="A18" s="12" t="s">
        <v>148</v>
      </c>
      <c r="B18" s="13" t="s">
        <v>149</v>
      </c>
      <c r="C18" s="13" t="s">
        <v>122</v>
      </c>
      <c r="D18" s="13" t="s">
        <v>150</v>
      </c>
      <c r="E18" s="12">
        <f>COUNTIF(RF!B:B,"MOD-15*")</f>
        <v>6</v>
      </c>
    </row>
    <row r="19" spans="1:5" x14ac:dyDescent="0.25">
      <c r="A19" s="14" t="s">
        <v>151</v>
      </c>
      <c r="B19" s="15" t="s">
        <v>152</v>
      </c>
      <c r="C19" s="15" t="s">
        <v>105</v>
      </c>
      <c r="D19" s="15" t="s">
        <v>153</v>
      </c>
      <c r="E19" s="14">
        <f>COUNTIF(RF!B:B,"MOD-16*")</f>
        <v>5</v>
      </c>
    </row>
    <row r="20" spans="1:5" x14ac:dyDescent="0.25">
      <c r="A20" s="12" t="s">
        <v>154</v>
      </c>
      <c r="B20" s="13" t="s">
        <v>155</v>
      </c>
      <c r="C20" s="13" t="s">
        <v>105</v>
      </c>
      <c r="D20" s="13" t="s">
        <v>156</v>
      </c>
      <c r="E20" s="12">
        <f>COUNTIF(RF!B:B,"MOD-17*")</f>
        <v>8</v>
      </c>
    </row>
    <row r="21" spans="1:5" x14ac:dyDescent="0.25">
      <c r="A21" s="14" t="s">
        <v>157</v>
      </c>
      <c r="B21" s="15" t="s">
        <v>158</v>
      </c>
      <c r="C21" s="15" t="s">
        <v>109</v>
      </c>
      <c r="D21" s="15" t="s">
        <v>159</v>
      </c>
      <c r="E21" s="14">
        <f>COUNTIF(RF!B:B,"MOD-18*")</f>
        <v>6</v>
      </c>
    </row>
    <row r="22" spans="1:5" x14ac:dyDescent="0.25">
      <c r="A22" s="12" t="s">
        <v>160</v>
      </c>
      <c r="B22" s="13" t="s">
        <v>161</v>
      </c>
      <c r="C22" s="13" t="s">
        <v>162</v>
      </c>
      <c r="D22" s="13" t="s">
        <v>163</v>
      </c>
      <c r="E22" s="12">
        <f>COUNTIF(RF!B:B,"MOD-19*")</f>
        <v>5</v>
      </c>
    </row>
    <row r="23" spans="1:5" x14ac:dyDescent="0.25">
      <c r="A23" s="14" t="s">
        <v>164</v>
      </c>
      <c r="B23" s="15" t="s">
        <v>165</v>
      </c>
      <c r="C23" s="15" t="s">
        <v>122</v>
      </c>
      <c r="D23" s="15" t="s">
        <v>166</v>
      </c>
      <c r="E23" s="14">
        <f>COUNTIF(RF!B:B,"MOD-20*")</f>
        <v>4</v>
      </c>
    </row>
    <row r="24" spans="1:5" x14ac:dyDescent="0.25">
      <c r="A24" s="12" t="s">
        <v>167</v>
      </c>
      <c r="B24" s="13" t="s">
        <v>168</v>
      </c>
      <c r="C24" s="13" t="s">
        <v>169</v>
      </c>
      <c r="D24" s="13" t="s">
        <v>170</v>
      </c>
      <c r="E24" s="12">
        <f>COUNTIF(RF!B:B,"MOD-21*")</f>
        <v>5</v>
      </c>
    </row>
  </sheetData>
  <autoFilter ref="A3:E24" xr:uid="{00000000-0009-0000-0000-000002000000}"/>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D21"/>
  <sheetViews>
    <sheetView showGridLines="0" zoomScaleNormal="100" workbookViewId="0">
      <pane xSplit="1" ySplit="3" topLeftCell="B4" activePane="bottomRight" state="frozen"/>
      <selection pane="topRight" activeCell="B1" sqref="B1"/>
      <selection pane="bottomLeft" activeCell="A4" sqref="A4"/>
      <selection pane="bottomRight" activeCell="D20" sqref="D20"/>
    </sheetView>
  </sheetViews>
  <sheetFormatPr baseColWidth="10" defaultColWidth="8.7109375" defaultRowHeight="15" x14ac:dyDescent="0.25"/>
  <cols>
    <col min="1" max="1" width="9" customWidth="1"/>
    <col min="2" max="2" width="38.7109375" bestFit="1" customWidth="1"/>
    <col min="3" max="3" width="14.5703125" bestFit="1" customWidth="1"/>
    <col min="4" max="4" width="134.28515625" customWidth="1"/>
  </cols>
  <sheetData>
    <row r="1" spans="1:4" ht="18" x14ac:dyDescent="0.25">
      <c r="A1" s="9" t="s">
        <v>16</v>
      </c>
    </row>
    <row r="2" spans="1:4" x14ac:dyDescent="0.25">
      <c r="A2" s="10" t="s">
        <v>101</v>
      </c>
    </row>
    <row r="3" spans="1:4" x14ac:dyDescent="0.25">
      <c r="A3" s="11" t="s">
        <v>66</v>
      </c>
      <c r="B3" s="11" t="s">
        <v>171</v>
      </c>
      <c r="C3" s="11" t="s">
        <v>68</v>
      </c>
      <c r="D3" s="11" t="s">
        <v>71</v>
      </c>
    </row>
    <row r="4" spans="1:4" x14ac:dyDescent="0.25">
      <c r="A4" s="12" t="s">
        <v>172</v>
      </c>
      <c r="B4" s="13" t="s">
        <v>173</v>
      </c>
      <c r="C4" s="13" t="s">
        <v>174</v>
      </c>
      <c r="D4" s="13" t="s">
        <v>175</v>
      </c>
    </row>
    <row r="5" spans="1:4" x14ac:dyDescent="0.25">
      <c r="A5" s="14" t="s">
        <v>176</v>
      </c>
      <c r="B5" s="15" t="s">
        <v>177</v>
      </c>
      <c r="C5" s="15" t="s">
        <v>174</v>
      </c>
      <c r="D5" s="15" t="s">
        <v>178</v>
      </c>
    </row>
    <row r="6" spans="1:4" x14ac:dyDescent="0.25">
      <c r="A6" s="12" t="s">
        <v>179</v>
      </c>
      <c r="B6" s="13" t="s">
        <v>180</v>
      </c>
      <c r="C6" s="13" t="s">
        <v>174</v>
      </c>
      <c r="D6" s="13" t="s">
        <v>181</v>
      </c>
    </row>
    <row r="7" spans="1:4" x14ac:dyDescent="0.25">
      <c r="A7" s="14" t="s">
        <v>182</v>
      </c>
      <c r="B7" s="15" t="s">
        <v>183</v>
      </c>
      <c r="C7" s="15" t="s">
        <v>174</v>
      </c>
      <c r="D7" s="15" t="s">
        <v>184</v>
      </c>
    </row>
    <row r="8" spans="1:4" x14ac:dyDescent="0.25">
      <c r="A8" s="12" t="s">
        <v>185</v>
      </c>
      <c r="B8" s="13" t="s">
        <v>186</v>
      </c>
      <c r="C8" s="13" t="s">
        <v>187</v>
      </c>
      <c r="D8" s="13" t="s">
        <v>188</v>
      </c>
    </row>
    <row r="9" spans="1:4" x14ac:dyDescent="0.25">
      <c r="A9" s="14" t="s">
        <v>189</v>
      </c>
      <c r="B9" s="15" t="s">
        <v>190</v>
      </c>
      <c r="C9" s="15" t="s">
        <v>174</v>
      </c>
      <c r="D9" s="15" t="s">
        <v>191</v>
      </c>
    </row>
    <row r="10" spans="1:4" x14ac:dyDescent="0.25">
      <c r="A10" s="12" t="s">
        <v>192</v>
      </c>
      <c r="B10" s="13" t="s">
        <v>193</v>
      </c>
      <c r="C10" s="13" t="s">
        <v>174</v>
      </c>
      <c r="D10" s="13" t="s">
        <v>194</v>
      </c>
    </row>
    <row r="11" spans="1:4" x14ac:dyDescent="0.25">
      <c r="A11" s="14" t="s">
        <v>195</v>
      </c>
      <c r="B11" s="15" t="s">
        <v>196</v>
      </c>
      <c r="C11" s="15" t="s">
        <v>197</v>
      </c>
      <c r="D11" s="15" t="s">
        <v>198</v>
      </c>
    </row>
    <row r="12" spans="1:4" x14ac:dyDescent="0.25">
      <c r="A12" s="12" t="s">
        <v>199</v>
      </c>
      <c r="B12" s="13" t="s">
        <v>200</v>
      </c>
      <c r="C12" s="13" t="s">
        <v>197</v>
      </c>
      <c r="D12" s="13" t="s">
        <v>201</v>
      </c>
    </row>
    <row r="13" spans="1:4" x14ac:dyDescent="0.25">
      <c r="A13" s="14" t="s">
        <v>202</v>
      </c>
      <c r="B13" s="15" t="s">
        <v>203</v>
      </c>
      <c r="C13" s="15" t="s">
        <v>197</v>
      </c>
      <c r="D13" s="15" t="s">
        <v>204</v>
      </c>
    </row>
    <row r="14" spans="1:4" x14ac:dyDescent="0.25">
      <c r="A14" s="12" t="s">
        <v>205</v>
      </c>
      <c r="B14" s="13" t="s">
        <v>206</v>
      </c>
      <c r="C14" s="13" t="s">
        <v>197</v>
      </c>
      <c r="D14" s="13" t="s">
        <v>207</v>
      </c>
    </row>
    <row r="15" spans="1:4" x14ac:dyDescent="0.25">
      <c r="A15" s="14" t="s">
        <v>208</v>
      </c>
      <c r="B15" s="15" t="s">
        <v>209</v>
      </c>
      <c r="C15" s="15" t="s">
        <v>197</v>
      </c>
      <c r="D15" s="15" t="s">
        <v>210</v>
      </c>
    </row>
    <row r="16" spans="1:4" x14ac:dyDescent="0.25">
      <c r="A16" s="12" t="s">
        <v>211</v>
      </c>
      <c r="B16" s="13" t="s">
        <v>212</v>
      </c>
      <c r="C16" s="13" t="s">
        <v>197</v>
      </c>
      <c r="D16" s="13" t="s">
        <v>213</v>
      </c>
    </row>
    <row r="17" spans="1:4" x14ac:dyDescent="0.25">
      <c r="A17" s="14" t="s">
        <v>214</v>
      </c>
      <c r="B17" s="15" t="s">
        <v>215</v>
      </c>
      <c r="C17" s="15" t="s">
        <v>197</v>
      </c>
      <c r="D17" s="15" t="s">
        <v>216</v>
      </c>
    </row>
    <row r="18" spans="1:4" x14ac:dyDescent="0.25">
      <c r="A18" s="12" t="s">
        <v>217</v>
      </c>
      <c r="B18" s="13" t="s">
        <v>218</v>
      </c>
      <c r="C18" s="13" t="s">
        <v>197</v>
      </c>
      <c r="D18" s="13" t="s">
        <v>219</v>
      </c>
    </row>
    <row r="19" spans="1:4" x14ac:dyDescent="0.25">
      <c r="A19" s="14" t="s">
        <v>220</v>
      </c>
      <c r="B19" s="15" t="s">
        <v>221</v>
      </c>
      <c r="C19" s="15" t="s">
        <v>197</v>
      </c>
      <c r="D19" s="15" t="s">
        <v>222</v>
      </c>
    </row>
    <row r="20" spans="1:4" x14ac:dyDescent="0.25">
      <c r="A20" s="12" t="s">
        <v>223</v>
      </c>
      <c r="B20" s="13" t="s">
        <v>224</v>
      </c>
      <c r="C20" s="13" t="s">
        <v>197</v>
      </c>
      <c r="D20" s="13" t="s">
        <v>225</v>
      </c>
    </row>
    <row r="21" spans="1:4" x14ac:dyDescent="0.25">
      <c r="A21" s="14" t="s">
        <v>226</v>
      </c>
      <c r="B21" s="15" t="s">
        <v>227</v>
      </c>
      <c r="C21" s="15" t="s">
        <v>174</v>
      </c>
      <c r="D21" s="15" t="s">
        <v>228</v>
      </c>
    </row>
  </sheetData>
  <autoFilter ref="A3:D21" xr:uid="{00000000-0009-0000-0000-000003000000}"/>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H16"/>
  <sheetViews>
    <sheetView showGridLines="0" zoomScale="90" zoomScaleNormal="90" workbookViewId="0">
      <pane xSplit="1" ySplit="3" topLeftCell="B10" activePane="bottomRight" state="frozen"/>
      <selection pane="topRight" activeCell="B1" sqref="B1"/>
      <selection pane="bottomLeft" activeCell="A4" sqref="A4"/>
      <selection pane="bottomRight" activeCell="B6" sqref="B6"/>
    </sheetView>
  </sheetViews>
  <sheetFormatPr baseColWidth="10" defaultColWidth="8.7109375" defaultRowHeight="15" x14ac:dyDescent="0.25"/>
  <cols>
    <col min="1" max="1" width="10" customWidth="1"/>
    <col min="2" max="2" width="21" customWidth="1"/>
    <col min="3" max="3" width="50.85546875" customWidth="1"/>
    <col min="4" max="4" width="33.42578125" customWidth="1"/>
    <col min="5" max="5" width="27" customWidth="1"/>
    <col min="6" max="6" width="95.28515625" customWidth="1"/>
    <col min="7" max="7" width="34.85546875" customWidth="1"/>
    <col min="8" max="8" width="11.42578125" bestFit="1" customWidth="1"/>
  </cols>
  <sheetData>
    <row r="1" spans="1:8" ht="18" x14ac:dyDescent="0.25">
      <c r="A1" s="9" t="s">
        <v>17</v>
      </c>
    </row>
    <row r="2" spans="1:8" x14ac:dyDescent="0.25">
      <c r="A2" s="10" t="s">
        <v>101</v>
      </c>
    </row>
    <row r="3" spans="1:8" x14ac:dyDescent="0.25">
      <c r="A3" s="11" t="s">
        <v>66</v>
      </c>
      <c r="B3" s="11" t="s">
        <v>229</v>
      </c>
      <c r="C3" s="11" t="s">
        <v>71</v>
      </c>
      <c r="D3" s="11" t="s">
        <v>16</v>
      </c>
      <c r="E3" s="11" t="s">
        <v>230</v>
      </c>
      <c r="F3" s="11" t="s">
        <v>231</v>
      </c>
      <c r="G3" s="11" t="s">
        <v>232</v>
      </c>
      <c r="H3" s="11" t="s">
        <v>72</v>
      </c>
    </row>
    <row r="4" spans="1:8" ht="76.5" x14ac:dyDescent="0.25">
      <c r="A4" s="12" t="s">
        <v>233</v>
      </c>
      <c r="B4" s="13" t="s">
        <v>234</v>
      </c>
      <c r="C4" s="13" t="s">
        <v>235</v>
      </c>
      <c r="D4" s="13" t="s">
        <v>236</v>
      </c>
      <c r="E4" s="13" t="s">
        <v>237</v>
      </c>
      <c r="F4" s="13" t="s">
        <v>238</v>
      </c>
      <c r="G4" s="13" t="s">
        <v>239</v>
      </c>
      <c r="H4" s="12">
        <f>COUNTIF('Matriz Proceso-RF'!D:D,"●")</f>
        <v>13</v>
      </c>
    </row>
    <row r="5" spans="1:8" ht="76.5" x14ac:dyDescent="0.25">
      <c r="A5" s="14" t="s">
        <v>240</v>
      </c>
      <c r="B5" s="15" t="s">
        <v>241</v>
      </c>
      <c r="C5" s="15" t="s">
        <v>242</v>
      </c>
      <c r="D5" s="15" t="s">
        <v>243</v>
      </c>
      <c r="E5" s="15" t="s">
        <v>244</v>
      </c>
      <c r="F5" s="15" t="s">
        <v>245</v>
      </c>
      <c r="G5" s="15" t="s">
        <v>246</v>
      </c>
      <c r="H5" s="14">
        <f>COUNTIF('Matriz Proceso-RF'!E:E,"●")</f>
        <v>14</v>
      </c>
    </row>
    <row r="6" spans="1:8" ht="63.75" x14ac:dyDescent="0.25">
      <c r="A6" s="12" t="s">
        <v>247</v>
      </c>
      <c r="B6" s="13" t="s">
        <v>248</v>
      </c>
      <c r="C6" s="13" t="s">
        <v>249</v>
      </c>
      <c r="D6" s="13" t="s">
        <v>250</v>
      </c>
      <c r="E6" s="13" t="s">
        <v>251</v>
      </c>
      <c r="F6" s="13" t="s">
        <v>252</v>
      </c>
      <c r="G6" s="13" t="s">
        <v>253</v>
      </c>
      <c r="H6" s="12">
        <f>COUNTIF('Matriz Proceso-RF'!F:F,"●")</f>
        <v>19</v>
      </c>
    </row>
    <row r="7" spans="1:8" ht="89.25" x14ac:dyDescent="0.25">
      <c r="A7" s="14" t="s">
        <v>254</v>
      </c>
      <c r="B7" s="15" t="s">
        <v>255</v>
      </c>
      <c r="C7" s="15" t="s">
        <v>256</v>
      </c>
      <c r="D7" s="15" t="s">
        <v>257</v>
      </c>
      <c r="E7" s="15" t="s">
        <v>258</v>
      </c>
      <c r="F7" s="15" t="s">
        <v>259</v>
      </c>
      <c r="G7" s="15" t="s">
        <v>260</v>
      </c>
      <c r="H7" s="14">
        <f>COUNTIF('Matriz Proceso-RF'!G:G,"●")</f>
        <v>19</v>
      </c>
    </row>
    <row r="8" spans="1:8" ht="63.75" x14ac:dyDescent="0.25">
      <c r="A8" s="12" t="s">
        <v>261</v>
      </c>
      <c r="B8" s="13" t="s">
        <v>262</v>
      </c>
      <c r="C8" s="13" t="s">
        <v>263</v>
      </c>
      <c r="D8" s="13" t="s">
        <v>264</v>
      </c>
      <c r="E8" s="13" t="s">
        <v>265</v>
      </c>
      <c r="F8" s="13" t="s">
        <v>266</v>
      </c>
      <c r="G8" s="13" t="s">
        <v>267</v>
      </c>
      <c r="H8" s="12">
        <f>COUNTIF('Matriz Proceso-RF'!H:H,"●")</f>
        <v>13</v>
      </c>
    </row>
    <row r="9" spans="1:8" ht="63.75" x14ac:dyDescent="0.25">
      <c r="A9" s="14" t="s">
        <v>268</v>
      </c>
      <c r="B9" s="15" t="s">
        <v>269</v>
      </c>
      <c r="C9" s="15" t="s">
        <v>270</v>
      </c>
      <c r="D9" s="15" t="s">
        <v>271</v>
      </c>
      <c r="E9" s="15" t="s">
        <v>272</v>
      </c>
      <c r="F9" s="15" t="s">
        <v>273</v>
      </c>
      <c r="G9" s="15" t="s">
        <v>274</v>
      </c>
      <c r="H9" s="14">
        <f>COUNTIF('Matriz Proceso-RF'!I:I,"●")</f>
        <v>11</v>
      </c>
    </row>
    <row r="10" spans="1:8" ht="63.75" x14ac:dyDescent="0.25">
      <c r="A10" s="12" t="s">
        <v>275</v>
      </c>
      <c r="B10" s="13" t="s">
        <v>276</v>
      </c>
      <c r="C10" s="13" t="s">
        <v>277</v>
      </c>
      <c r="D10" s="13" t="s">
        <v>278</v>
      </c>
      <c r="E10" s="13" t="s">
        <v>279</v>
      </c>
      <c r="F10" s="13" t="s">
        <v>280</v>
      </c>
      <c r="G10" s="13" t="s">
        <v>281</v>
      </c>
      <c r="H10" s="12">
        <f>COUNTIF('Matriz Proceso-RF'!J:J,"●")</f>
        <v>13</v>
      </c>
    </row>
    <row r="11" spans="1:8" ht="63.75" x14ac:dyDescent="0.25">
      <c r="A11" s="14" t="s">
        <v>282</v>
      </c>
      <c r="B11" s="15" t="s">
        <v>283</v>
      </c>
      <c r="C11" s="15" t="s">
        <v>284</v>
      </c>
      <c r="D11" s="15" t="s">
        <v>285</v>
      </c>
      <c r="E11" s="15" t="s">
        <v>286</v>
      </c>
      <c r="F11" s="15" t="s">
        <v>287</v>
      </c>
      <c r="G11" s="15" t="s">
        <v>288</v>
      </c>
      <c r="H11" s="14">
        <f>COUNTIF('Matriz Proceso-RF'!K:K,"●")</f>
        <v>10</v>
      </c>
    </row>
    <row r="12" spans="1:8" ht="63.75" x14ac:dyDescent="0.25">
      <c r="A12" s="12" t="s">
        <v>289</v>
      </c>
      <c r="B12" s="13" t="s">
        <v>290</v>
      </c>
      <c r="C12" s="13" t="s">
        <v>291</v>
      </c>
      <c r="D12" s="13" t="s">
        <v>292</v>
      </c>
      <c r="E12" s="13" t="s">
        <v>293</v>
      </c>
      <c r="F12" s="13" t="s">
        <v>294</v>
      </c>
      <c r="G12" s="13" t="s">
        <v>295</v>
      </c>
      <c r="H12" s="12">
        <f>COUNTIF('Matriz Proceso-RF'!L:L,"●")</f>
        <v>11</v>
      </c>
    </row>
    <row r="13" spans="1:8" ht="63.75" x14ac:dyDescent="0.25">
      <c r="A13" s="14" t="s">
        <v>296</v>
      </c>
      <c r="B13" s="15" t="s">
        <v>297</v>
      </c>
      <c r="C13" s="15" t="s">
        <v>298</v>
      </c>
      <c r="D13" s="15" t="s">
        <v>299</v>
      </c>
      <c r="E13" s="15" t="s">
        <v>300</v>
      </c>
      <c r="F13" s="15" t="s">
        <v>301</v>
      </c>
      <c r="G13" s="15" t="s">
        <v>302</v>
      </c>
      <c r="H13" s="14">
        <f>COUNTIF('Matriz Proceso-RF'!M:M,"●")</f>
        <v>17</v>
      </c>
    </row>
    <row r="14" spans="1:8" ht="63.75" x14ac:dyDescent="0.25">
      <c r="A14" s="12" t="s">
        <v>303</v>
      </c>
      <c r="B14" s="13" t="s">
        <v>304</v>
      </c>
      <c r="C14" s="13" t="s">
        <v>305</v>
      </c>
      <c r="D14" s="13" t="s">
        <v>306</v>
      </c>
      <c r="E14" s="13" t="s">
        <v>307</v>
      </c>
      <c r="F14" s="13" t="s">
        <v>308</v>
      </c>
      <c r="G14" s="13" t="s">
        <v>309</v>
      </c>
      <c r="H14" s="12">
        <f>COUNTIF('Matriz Proceso-RF'!N:N,"●")</f>
        <v>23</v>
      </c>
    </row>
    <row r="15" spans="1:8" ht="63.75" x14ac:dyDescent="0.25">
      <c r="A15" s="14" t="s">
        <v>310</v>
      </c>
      <c r="B15" s="15" t="s">
        <v>311</v>
      </c>
      <c r="C15" s="15" t="s">
        <v>312</v>
      </c>
      <c r="D15" s="15" t="s">
        <v>313</v>
      </c>
      <c r="E15" s="15" t="s">
        <v>314</v>
      </c>
      <c r="F15" s="15" t="s">
        <v>315</v>
      </c>
      <c r="G15" s="15" t="s">
        <v>316</v>
      </c>
      <c r="H15" s="14">
        <f>COUNTIF('Matriz Proceso-RF'!O:O,"●")</f>
        <v>16</v>
      </c>
    </row>
    <row r="16" spans="1:8" ht="51" x14ac:dyDescent="0.25">
      <c r="A16" s="12" t="s">
        <v>317</v>
      </c>
      <c r="B16" s="13" t="s">
        <v>318</v>
      </c>
      <c r="C16" s="13" t="s">
        <v>319</v>
      </c>
      <c r="D16" s="13" t="s">
        <v>320</v>
      </c>
      <c r="E16" s="13" t="s">
        <v>321</v>
      </c>
      <c r="F16" s="13" t="s">
        <v>322</v>
      </c>
      <c r="G16" s="13" t="s">
        <v>323</v>
      </c>
      <c r="H16" s="12">
        <f>COUNTIF('Matriz Proceso-RF'!P:P,"●")</f>
        <v>13</v>
      </c>
    </row>
  </sheetData>
  <autoFilter ref="A3:H16" xr:uid="{00000000-0009-0000-0000-000004000000}"/>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D51"/>
  <sheetViews>
    <sheetView showGridLines="0" zoomScaleNormal="100" workbookViewId="0">
      <pane xSplit="1" ySplit="3" topLeftCell="B4" activePane="bottomRight" state="frozen"/>
      <selection pane="topRight" activeCell="B1" sqref="B1"/>
      <selection pane="bottomLeft" activeCell="A4" sqref="A4"/>
      <selection pane="bottomRight" activeCell="B15" sqref="B15"/>
    </sheetView>
  </sheetViews>
  <sheetFormatPr baseColWidth="10" defaultColWidth="8.7109375" defaultRowHeight="15" x14ac:dyDescent="0.25"/>
  <cols>
    <col min="1" max="1" width="13" customWidth="1"/>
    <col min="2" max="2" width="129.7109375" customWidth="1"/>
    <col min="3" max="3" width="14.85546875" customWidth="1"/>
    <col min="4" max="4" width="63.5703125" customWidth="1"/>
  </cols>
  <sheetData>
    <row r="1" spans="1:4" ht="18" x14ac:dyDescent="0.25">
      <c r="A1" s="9" t="s">
        <v>18</v>
      </c>
    </row>
    <row r="2" spans="1:4" x14ac:dyDescent="0.25">
      <c r="A2" s="10" t="s">
        <v>101</v>
      </c>
    </row>
    <row r="3" spans="1:4" x14ac:dyDescent="0.25">
      <c r="A3" s="11" t="s">
        <v>66</v>
      </c>
      <c r="B3" s="11" t="s">
        <v>324</v>
      </c>
      <c r="C3" s="11" t="s">
        <v>68</v>
      </c>
      <c r="D3" s="11" t="s">
        <v>325</v>
      </c>
    </row>
    <row r="4" spans="1:4" ht="25.5" x14ac:dyDescent="0.25">
      <c r="A4" s="12" t="s">
        <v>326</v>
      </c>
      <c r="B4" s="13" t="s">
        <v>327</v>
      </c>
      <c r="C4" s="12" t="s">
        <v>328</v>
      </c>
      <c r="D4" s="13" t="s">
        <v>329</v>
      </c>
    </row>
    <row r="5" spans="1:4" x14ac:dyDescent="0.25">
      <c r="A5" s="14" t="s">
        <v>330</v>
      </c>
      <c r="B5" s="15" t="s">
        <v>331</v>
      </c>
      <c r="C5" s="14" t="s">
        <v>332</v>
      </c>
      <c r="D5" s="15" t="s">
        <v>333</v>
      </c>
    </row>
    <row r="6" spans="1:4" x14ac:dyDescent="0.25">
      <c r="A6" s="12" t="s">
        <v>334</v>
      </c>
      <c r="B6" s="13" t="s">
        <v>335</v>
      </c>
      <c r="C6" s="12" t="s">
        <v>332</v>
      </c>
      <c r="D6" s="13" t="s">
        <v>336</v>
      </c>
    </row>
    <row r="7" spans="1:4" ht="25.5" x14ac:dyDescent="0.25">
      <c r="A7" s="14" t="s">
        <v>337</v>
      </c>
      <c r="B7" s="15" t="s">
        <v>338</v>
      </c>
      <c r="C7" s="14" t="s">
        <v>332</v>
      </c>
      <c r="D7" s="15" t="s">
        <v>339</v>
      </c>
    </row>
    <row r="8" spans="1:4" ht="25.5" x14ac:dyDescent="0.25">
      <c r="A8" s="12" t="s">
        <v>340</v>
      </c>
      <c r="B8" s="13" t="s">
        <v>341</v>
      </c>
      <c r="C8" s="12" t="s">
        <v>328</v>
      </c>
      <c r="D8" s="13" t="s">
        <v>342</v>
      </c>
    </row>
    <row r="9" spans="1:4" ht="25.5" x14ac:dyDescent="0.25">
      <c r="A9" s="14" t="s">
        <v>343</v>
      </c>
      <c r="B9" s="15" t="s">
        <v>344</v>
      </c>
      <c r="C9" s="14" t="s">
        <v>328</v>
      </c>
      <c r="D9" s="15" t="s">
        <v>345</v>
      </c>
    </row>
    <row r="10" spans="1:4" ht="25.5" x14ac:dyDescent="0.25">
      <c r="A10" s="12" t="s">
        <v>346</v>
      </c>
      <c r="B10" s="13" t="s">
        <v>347</v>
      </c>
      <c r="C10" s="12" t="s">
        <v>328</v>
      </c>
      <c r="D10" s="13" t="s">
        <v>348</v>
      </c>
    </row>
    <row r="11" spans="1:4" ht="25.5" x14ac:dyDescent="0.25">
      <c r="A11" s="14" t="s">
        <v>349</v>
      </c>
      <c r="B11" s="15" t="s">
        <v>350</v>
      </c>
      <c r="C11" s="14" t="s">
        <v>332</v>
      </c>
      <c r="D11" s="15" t="s">
        <v>351</v>
      </c>
    </row>
    <row r="12" spans="1:4" ht="25.5" x14ac:dyDescent="0.25">
      <c r="A12" s="12" t="s">
        <v>352</v>
      </c>
      <c r="B12" s="13" t="s">
        <v>353</v>
      </c>
      <c r="C12" s="12" t="s">
        <v>328</v>
      </c>
      <c r="D12" s="13" t="s">
        <v>354</v>
      </c>
    </row>
    <row r="13" spans="1:4" x14ac:dyDescent="0.25">
      <c r="A13" s="14" t="s">
        <v>355</v>
      </c>
      <c r="B13" s="15" t="s">
        <v>356</v>
      </c>
      <c r="C13" s="14" t="s">
        <v>328</v>
      </c>
      <c r="D13" s="15" t="s">
        <v>357</v>
      </c>
    </row>
    <row r="14" spans="1:4" ht="25.5" x14ac:dyDescent="0.25">
      <c r="A14" s="12" t="s">
        <v>358</v>
      </c>
      <c r="B14" s="13" t="s">
        <v>359</v>
      </c>
      <c r="C14" s="12" t="s">
        <v>328</v>
      </c>
      <c r="D14" s="13" t="s">
        <v>360</v>
      </c>
    </row>
    <row r="15" spans="1:4" ht="25.5" x14ac:dyDescent="0.25">
      <c r="A15" s="14" t="s">
        <v>361</v>
      </c>
      <c r="B15" s="15" t="s">
        <v>362</v>
      </c>
      <c r="C15" s="14" t="s">
        <v>328</v>
      </c>
      <c r="D15" s="15" t="s">
        <v>363</v>
      </c>
    </row>
    <row r="16" spans="1:4" ht="25.5" x14ac:dyDescent="0.25">
      <c r="A16" s="12" t="s">
        <v>364</v>
      </c>
      <c r="B16" s="13" t="s">
        <v>365</v>
      </c>
      <c r="C16" s="12" t="s">
        <v>332</v>
      </c>
      <c r="D16" s="13" t="s">
        <v>366</v>
      </c>
    </row>
    <row r="17" spans="1:4" ht="25.5" x14ac:dyDescent="0.25">
      <c r="A17" s="14" t="s">
        <v>367</v>
      </c>
      <c r="B17" s="15" t="s">
        <v>368</v>
      </c>
      <c r="C17" s="14" t="s">
        <v>369</v>
      </c>
      <c r="D17" s="15" t="s">
        <v>370</v>
      </c>
    </row>
    <row r="18" spans="1:4" x14ac:dyDescent="0.25">
      <c r="A18" s="12" t="s">
        <v>371</v>
      </c>
      <c r="B18" s="13" t="s">
        <v>372</v>
      </c>
      <c r="C18" s="12" t="s">
        <v>332</v>
      </c>
      <c r="D18" s="13" t="s">
        <v>373</v>
      </c>
    </row>
    <row r="19" spans="1:4" ht="25.5" x14ac:dyDescent="0.25">
      <c r="A19" s="14" t="s">
        <v>374</v>
      </c>
      <c r="B19" s="15" t="s">
        <v>375</v>
      </c>
      <c r="C19" s="14" t="s">
        <v>369</v>
      </c>
      <c r="D19" s="15" t="s">
        <v>376</v>
      </c>
    </row>
    <row r="20" spans="1:4" ht="25.5" x14ac:dyDescent="0.25">
      <c r="A20" s="12" t="s">
        <v>377</v>
      </c>
      <c r="B20" s="13" t="s">
        <v>378</v>
      </c>
      <c r="C20" s="12" t="s">
        <v>379</v>
      </c>
      <c r="D20" s="13" t="s">
        <v>380</v>
      </c>
    </row>
    <row r="21" spans="1:4" ht="25.5" x14ac:dyDescent="0.25">
      <c r="A21" s="14" t="s">
        <v>381</v>
      </c>
      <c r="B21" s="15" t="s">
        <v>382</v>
      </c>
      <c r="C21" s="14" t="s">
        <v>379</v>
      </c>
      <c r="D21" s="15" t="s">
        <v>383</v>
      </c>
    </row>
    <row r="22" spans="1:4" ht="25.5" x14ac:dyDescent="0.25">
      <c r="A22" s="12" t="s">
        <v>384</v>
      </c>
      <c r="B22" s="13" t="s">
        <v>385</v>
      </c>
      <c r="C22" s="12" t="s">
        <v>379</v>
      </c>
      <c r="D22" s="13" t="s">
        <v>386</v>
      </c>
    </row>
    <row r="23" spans="1:4" ht="25.5" x14ac:dyDescent="0.25">
      <c r="A23" s="14" t="s">
        <v>387</v>
      </c>
      <c r="B23" s="15" t="s">
        <v>388</v>
      </c>
      <c r="C23" s="14" t="s">
        <v>379</v>
      </c>
      <c r="D23" s="15" t="s">
        <v>389</v>
      </c>
    </row>
    <row r="24" spans="1:4" ht="25.5" x14ac:dyDescent="0.25">
      <c r="A24" s="12" t="s">
        <v>390</v>
      </c>
      <c r="B24" s="13" t="s">
        <v>391</v>
      </c>
      <c r="C24" s="12" t="s">
        <v>369</v>
      </c>
      <c r="D24" s="13" t="s">
        <v>392</v>
      </c>
    </row>
    <row r="25" spans="1:4" ht="25.5" x14ac:dyDescent="0.25">
      <c r="A25" s="14" t="s">
        <v>393</v>
      </c>
      <c r="B25" s="15" t="s">
        <v>394</v>
      </c>
      <c r="C25" s="14" t="s">
        <v>379</v>
      </c>
      <c r="D25" s="15" t="s">
        <v>395</v>
      </c>
    </row>
    <row r="26" spans="1:4" ht="25.5" x14ac:dyDescent="0.25">
      <c r="A26" s="12" t="s">
        <v>396</v>
      </c>
      <c r="B26" s="13" t="s">
        <v>397</v>
      </c>
      <c r="C26" s="12" t="s">
        <v>328</v>
      </c>
      <c r="D26" s="13" t="s">
        <v>398</v>
      </c>
    </row>
    <row r="27" spans="1:4" ht="25.5" x14ac:dyDescent="0.25">
      <c r="A27" s="14" t="s">
        <v>399</v>
      </c>
      <c r="B27" s="15" t="s">
        <v>400</v>
      </c>
      <c r="C27" s="14" t="s">
        <v>369</v>
      </c>
      <c r="D27" s="15" t="s">
        <v>401</v>
      </c>
    </row>
    <row r="28" spans="1:4" ht="25.5" x14ac:dyDescent="0.25">
      <c r="A28" s="12" t="s">
        <v>402</v>
      </c>
      <c r="B28" s="13" t="s">
        <v>403</v>
      </c>
      <c r="C28" s="12" t="s">
        <v>379</v>
      </c>
      <c r="D28" s="13" t="s">
        <v>404</v>
      </c>
    </row>
    <row r="29" spans="1:4" x14ac:dyDescent="0.25">
      <c r="A29" s="14" t="s">
        <v>405</v>
      </c>
      <c r="B29" s="15" t="s">
        <v>406</v>
      </c>
      <c r="C29" s="14" t="s">
        <v>328</v>
      </c>
      <c r="D29" s="15" t="s">
        <v>407</v>
      </c>
    </row>
    <row r="30" spans="1:4" ht="25.5" x14ac:dyDescent="0.25">
      <c r="A30" s="12" t="s">
        <v>408</v>
      </c>
      <c r="B30" s="13" t="s">
        <v>409</v>
      </c>
      <c r="C30" s="12" t="s">
        <v>332</v>
      </c>
      <c r="D30" s="13" t="s">
        <v>410</v>
      </c>
    </row>
    <row r="31" spans="1:4" ht="25.5" x14ac:dyDescent="0.25">
      <c r="A31" s="14" t="s">
        <v>411</v>
      </c>
      <c r="B31" s="15" t="s">
        <v>412</v>
      </c>
      <c r="C31" s="14" t="s">
        <v>328</v>
      </c>
      <c r="D31" s="15" t="s">
        <v>413</v>
      </c>
    </row>
    <row r="32" spans="1:4" ht="25.5" x14ac:dyDescent="0.25">
      <c r="A32" s="12" t="s">
        <v>414</v>
      </c>
      <c r="B32" s="13" t="s">
        <v>415</v>
      </c>
      <c r="C32" s="12" t="s">
        <v>379</v>
      </c>
      <c r="D32" s="13" t="s">
        <v>416</v>
      </c>
    </row>
    <row r="33" spans="1:4" ht="25.5" x14ac:dyDescent="0.25">
      <c r="A33" s="14" t="s">
        <v>417</v>
      </c>
      <c r="B33" s="15" t="s">
        <v>418</v>
      </c>
      <c r="C33" s="14" t="s">
        <v>379</v>
      </c>
      <c r="D33" s="15" t="s">
        <v>419</v>
      </c>
    </row>
    <row r="34" spans="1:4" ht="25.5" x14ac:dyDescent="0.25">
      <c r="A34" s="12" t="s">
        <v>420</v>
      </c>
      <c r="B34" s="13" t="s">
        <v>421</v>
      </c>
      <c r="C34" s="12" t="s">
        <v>328</v>
      </c>
      <c r="D34" s="13" t="s">
        <v>422</v>
      </c>
    </row>
    <row r="35" spans="1:4" ht="25.5" x14ac:dyDescent="0.25">
      <c r="A35" s="14" t="s">
        <v>423</v>
      </c>
      <c r="B35" s="15" t="s">
        <v>424</v>
      </c>
      <c r="C35" s="14" t="s">
        <v>379</v>
      </c>
      <c r="D35" s="15" t="s">
        <v>425</v>
      </c>
    </row>
    <row r="36" spans="1:4" ht="25.5" x14ac:dyDescent="0.25">
      <c r="A36" s="12" t="s">
        <v>426</v>
      </c>
      <c r="B36" s="13" t="s">
        <v>427</v>
      </c>
      <c r="C36" s="12" t="s">
        <v>328</v>
      </c>
      <c r="D36" s="13" t="s">
        <v>428</v>
      </c>
    </row>
    <row r="37" spans="1:4" ht="25.5" x14ac:dyDescent="0.25">
      <c r="A37" s="14" t="s">
        <v>429</v>
      </c>
      <c r="B37" s="15" t="s">
        <v>430</v>
      </c>
      <c r="C37" s="14" t="s">
        <v>328</v>
      </c>
      <c r="D37" s="15" t="s">
        <v>431</v>
      </c>
    </row>
    <row r="38" spans="1:4" ht="25.5" x14ac:dyDescent="0.25">
      <c r="A38" s="12" t="s">
        <v>432</v>
      </c>
      <c r="B38" s="13" t="s">
        <v>433</v>
      </c>
      <c r="C38" s="12" t="s">
        <v>369</v>
      </c>
      <c r="D38" s="13" t="s">
        <v>434</v>
      </c>
    </row>
    <row r="39" spans="1:4" x14ac:dyDescent="0.25">
      <c r="A39" s="14" t="s">
        <v>435</v>
      </c>
      <c r="B39" s="15" t="s">
        <v>436</v>
      </c>
      <c r="C39" s="14" t="s">
        <v>369</v>
      </c>
      <c r="D39" s="15" t="s">
        <v>437</v>
      </c>
    </row>
    <row r="40" spans="1:4" ht="25.5" x14ac:dyDescent="0.25">
      <c r="A40" s="12" t="s">
        <v>438</v>
      </c>
      <c r="B40" s="13" t="s">
        <v>439</v>
      </c>
      <c r="C40" s="12" t="s">
        <v>369</v>
      </c>
      <c r="D40" s="13" t="s">
        <v>440</v>
      </c>
    </row>
    <row r="41" spans="1:4" ht="38.25" x14ac:dyDescent="0.25">
      <c r="A41" s="14" t="s">
        <v>441</v>
      </c>
      <c r="B41" s="15" t="s">
        <v>442</v>
      </c>
      <c r="C41" s="14" t="s">
        <v>332</v>
      </c>
      <c r="D41" s="15" t="s">
        <v>443</v>
      </c>
    </row>
    <row r="42" spans="1:4" ht="25.5" x14ac:dyDescent="0.25">
      <c r="A42" s="12" t="s">
        <v>444</v>
      </c>
      <c r="B42" s="13" t="s">
        <v>445</v>
      </c>
      <c r="C42" s="12" t="s">
        <v>328</v>
      </c>
      <c r="D42" s="13" t="s">
        <v>446</v>
      </c>
    </row>
    <row r="43" spans="1:4" ht="25.5" x14ac:dyDescent="0.25">
      <c r="A43" s="14" t="s">
        <v>447</v>
      </c>
      <c r="B43" s="15" t="s">
        <v>448</v>
      </c>
      <c r="C43" s="14" t="s">
        <v>369</v>
      </c>
      <c r="D43" s="15" t="s">
        <v>449</v>
      </c>
    </row>
    <row r="44" spans="1:4" ht="25.5" x14ac:dyDescent="0.25">
      <c r="A44" s="12" t="s">
        <v>450</v>
      </c>
      <c r="B44" s="13" t="s">
        <v>451</v>
      </c>
      <c r="C44" s="12" t="s">
        <v>328</v>
      </c>
      <c r="D44" s="13" t="s">
        <v>452</v>
      </c>
    </row>
    <row r="45" spans="1:4" ht="25.5" x14ac:dyDescent="0.25">
      <c r="A45" s="14" t="s">
        <v>453</v>
      </c>
      <c r="B45" s="15" t="s">
        <v>454</v>
      </c>
      <c r="C45" s="14" t="s">
        <v>332</v>
      </c>
      <c r="D45" s="15" t="s">
        <v>455</v>
      </c>
    </row>
    <row r="46" spans="1:4" ht="25.5" x14ac:dyDescent="0.25">
      <c r="A46" s="12" t="s">
        <v>456</v>
      </c>
      <c r="B46" s="13" t="s">
        <v>457</v>
      </c>
      <c r="C46" s="12" t="s">
        <v>332</v>
      </c>
      <c r="D46" s="13" t="s">
        <v>458</v>
      </c>
    </row>
    <row r="47" spans="1:4" ht="25.5" x14ac:dyDescent="0.25">
      <c r="A47" s="14" t="s">
        <v>459</v>
      </c>
      <c r="B47" s="15" t="s">
        <v>460</v>
      </c>
      <c r="C47" s="14" t="s">
        <v>328</v>
      </c>
      <c r="D47" s="15" t="s">
        <v>461</v>
      </c>
    </row>
    <row r="48" spans="1:4" ht="25.5" x14ac:dyDescent="0.25">
      <c r="A48" s="12" t="s">
        <v>462</v>
      </c>
      <c r="B48" s="13" t="s">
        <v>463</v>
      </c>
      <c r="C48" s="12" t="s">
        <v>328</v>
      </c>
      <c r="D48" s="13" t="s">
        <v>464</v>
      </c>
    </row>
    <row r="49" spans="1:4" ht="25.5" x14ac:dyDescent="0.25">
      <c r="A49" s="14" t="s">
        <v>465</v>
      </c>
      <c r="B49" s="15" t="s">
        <v>466</v>
      </c>
      <c r="C49" s="14" t="s">
        <v>328</v>
      </c>
      <c r="D49" s="15" t="s">
        <v>467</v>
      </c>
    </row>
    <row r="50" spans="1:4" ht="25.5" x14ac:dyDescent="0.25">
      <c r="A50" s="12" t="s">
        <v>468</v>
      </c>
      <c r="B50" s="13" t="s">
        <v>469</v>
      </c>
      <c r="C50" s="12" t="s">
        <v>328</v>
      </c>
      <c r="D50" s="13" t="s">
        <v>470</v>
      </c>
    </row>
    <row r="51" spans="1:4" ht="25.5" x14ac:dyDescent="0.25">
      <c r="A51" s="14" t="s">
        <v>471</v>
      </c>
      <c r="B51" s="15" t="s">
        <v>472</v>
      </c>
      <c r="C51" s="14" t="s">
        <v>379</v>
      </c>
      <c r="D51" s="15" t="s">
        <v>473</v>
      </c>
    </row>
  </sheetData>
  <autoFilter ref="A3:D51" xr:uid="{00000000-0009-0000-0000-000005000000}"/>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C2410C"/>
    <pageSetUpPr fitToPage="1"/>
  </sheetPr>
  <dimension ref="A1:S141"/>
  <sheetViews>
    <sheetView showGridLines="0" zoomScale="90" zoomScaleNormal="90" workbookViewId="0">
      <pane xSplit="1" ySplit="3" topLeftCell="B4" activePane="bottomRight" state="frozen"/>
      <selection pane="topRight" activeCell="B1" sqref="B1"/>
      <selection pane="bottomLeft" activeCell="A4" sqref="A4"/>
      <selection pane="bottomRight" activeCell="C4" sqref="C4"/>
    </sheetView>
  </sheetViews>
  <sheetFormatPr baseColWidth="10" defaultColWidth="8.7109375" defaultRowHeight="15" x14ac:dyDescent="0.25"/>
  <cols>
    <col min="1" max="1" width="13" customWidth="1"/>
    <col min="2" max="2" width="24" customWidth="1"/>
    <col min="3" max="3" width="20" customWidth="1"/>
    <col min="4" max="4" width="30" customWidth="1"/>
    <col min="5" max="5" width="45.28515625" customWidth="1"/>
    <col min="6" max="6" width="20" customWidth="1"/>
    <col min="7" max="7" width="24.28515625" customWidth="1"/>
    <col min="8" max="8" width="30" customWidth="1"/>
    <col min="9" max="9" width="52" customWidth="1"/>
    <col min="10" max="10" width="44" customWidth="1"/>
    <col min="11" max="11" width="15" customWidth="1"/>
    <col min="12" max="12" width="30" customWidth="1"/>
    <col min="13" max="13" width="10" customWidth="1"/>
    <col min="14" max="14" width="8" customWidth="1"/>
    <col min="15" max="15" width="13" customWidth="1"/>
    <col min="16" max="16" width="16" customWidth="1"/>
    <col min="17" max="17" width="18" customWidth="1"/>
    <col min="18" max="18" width="6" customWidth="1"/>
    <col min="19" max="19" width="9" customWidth="1"/>
  </cols>
  <sheetData>
    <row r="1" spans="1:19" ht="18" x14ac:dyDescent="0.25">
      <c r="A1" s="9" t="s">
        <v>474</v>
      </c>
    </row>
    <row r="2" spans="1:19" x14ac:dyDescent="0.25">
      <c r="A2" s="10" t="s">
        <v>475</v>
      </c>
    </row>
    <row r="3" spans="1:19" ht="27.75" customHeight="1" x14ac:dyDescent="0.25">
      <c r="A3" s="11" t="s">
        <v>66</v>
      </c>
      <c r="B3" s="11" t="s">
        <v>102</v>
      </c>
      <c r="C3" s="11" t="s">
        <v>67</v>
      </c>
      <c r="D3" s="11" t="s">
        <v>476</v>
      </c>
      <c r="E3" s="11" t="s">
        <v>71</v>
      </c>
      <c r="F3" s="11" t="s">
        <v>16</v>
      </c>
      <c r="G3" s="11" t="s">
        <v>59</v>
      </c>
      <c r="H3" s="11" t="s">
        <v>477</v>
      </c>
      <c r="I3" s="11" t="s">
        <v>478</v>
      </c>
      <c r="J3" s="11" t="s">
        <v>479</v>
      </c>
      <c r="K3" s="11" t="s">
        <v>480</v>
      </c>
      <c r="L3" s="11" t="s">
        <v>481</v>
      </c>
      <c r="M3" s="11" t="s">
        <v>482</v>
      </c>
      <c r="N3" s="11" t="s">
        <v>53</v>
      </c>
      <c r="O3" s="11" t="s">
        <v>31</v>
      </c>
      <c r="P3" s="11" t="s">
        <v>46</v>
      </c>
      <c r="Q3" s="11" t="s">
        <v>38</v>
      </c>
      <c r="R3" s="11" t="s">
        <v>483</v>
      </c>
      <c r="S3" s="11" t="s">
        <v>484</v>
      </c>
    </row>
    <row r="4" spans="1:19" ht="175.5" customHeight="1" x14ac:dyDescent="0.25">
      <c r="A4" s="16" t="s">
        <v>485</v>
      </c>
      <c r="B4" s="17" t="s">
        <v>486</v>
      </c>
      <c r="C4" s="17" t="s">
        <v>105</v>
      </c>
      <c r="D4" s="17" t="s">
        <v>487</v>
      </c>
      <c r="E4" s="17" t="s">
        <v>488</v>
      </c>
      <c r="F4" s="17" t="s">
        <v>173</v>
      </c>
      <c r="G4" s="17" t="s">
        <v>489</v>
      </c>
      <c r="H4" s="17" t="s">
        <v>490</v>
      </c>
      <c r="I4" s="17" t="s">
        <v>491</v>
      </c>
      <c r="J4" s="17" t="s">
        <v>492</v>
      </c>
      <c r="K4" s="17" t="s">
        <v>493</v>
      </c>
      <c r="L4" s="17" t="s">
        <v>494</v>
      </c>
      <c r="M4" s="16" t="s">
        <v>495</v>
      </c>
      <c r="N4" s="16" t="s">
        <v>496</v>
      </c>
      <c r="O4" s="17" t="s">
        <v>233</v>
      </c>
      <c r="P4" s="17" t="s">
        <v>497</v>
      </c>
      <c r="Q4" s="17" t="s">
        <v>498</v>
      </c>
      <c r="R4" s="16" t="s">
        <v>499</v>
      </c>
      <c r="S4" s="16">
        <f>COUNTIF('Criterios GWT'!B:B,A4)</f>
        <v>3</v>
      </c>
    </row>
    <row r="5" spans="1:19" ht="108" customHeight="1" x14ac:dyDescent="0.25">
      <c r="A5" s="18" t="s">
        <v>500</v>
      </c>
      <c r="B5" s="19" t="s">
        <v>486</v>
      </c>
      <c r="C5" s="19" t="s">
        <v>109</v>
      </c>
      <c r="D5" s="19" t="s">
        <v>501</v>
      </c>
      <c r="E5" s="19" t="s">
        <v>502</v>
      </c>
      <c r="F5" s="19" t="s">
        <v>180</v>
      </c>
      <c r="G5" s="19" t="s">
        <v>503</v>
      </c>
      <c r="H5" s="19" t="s">
        <v>504</v>
      </c>
      <c r="I5" s="19" t="s">
        <v>505</v>
      </c>
      <c r="J5" s="19" t="s">
        <v>506</v>
      </c>
      <c r="K5" s="19" t="s">
        <v>507</v>
      </c>
      <c r="L5" s="19" t="s">
        <v>508</v>
      </c>
      <c r="M5" s="18" t="s">
        <v>495</v>
      </c>
      <c r="N5" s="18" t="s">
        <v>496</v>
      </c>
      <c r="O5" s="19" t="s">
        <v>509</v>
      </c>
      <c r="P5" s="19" t="s">
        <v>510</v>
      </c>
      <c r="Q5" s="19" t="s">
        <v>511</v>
      </c>
      <c r="R5" s="18" t="s">
        <v>499</v>
      </c>
      <c r="S5" s="18">
        <f>COUNTIF('Criterios GWT'!B:B,A5)</f>
        <v>3</v>
      </c>
    </row>
    <row r="6" spans="1:19" ht="81" customHeight="1" x14ac:dyDescent="0.25">
      <c r="A6" s="16" t="s">
        <v>512</v>
      </c>
      <c r="B6" s="17" t="s">
        <v>486</v>
      </c>
      <c r="C6" s="17" t="s">
        <v>109</v>
      </c>
      <c r="D6" s="17" t="s">
        <v>513</v>
      </c>
      <c r="E6" s="17" t="s">
        <v>514</v>
      </c>
      <c r="F6" s="17" t="s">
        <v>180</v>
      </c>
      <c r="G6" s="17" t="s">
        <v>515</v>
      </c>
      <c r="H6" s="17" t="s">
        <v>516</v>
      </c>
      <c r="I6" s="17" t="s">
        <v>517</v>
      </c>
      <c r="J6" s="17" t="s">
        <v>518</v>
      </c>
      <c r="K6" s="17" t="s">
        <v>519</v>
      </c>
      <c r="L6" s="17" t="s">
        <v>520</v>
      </c>
      <c r="M6" s="16" t="s">
        <v>495</v>
      </c>
      <c r="N6" s="16" t="s">
        <v>496</v>
      </c>
      <c r="O6" s="17" t="s">
        <v>233</v>
      </c>
      <c r="P6" s="17" t="s">
        <v>521</v>
      </c>
      <c r="Q6" s="17" t="s">
        <v>522</v>
      </c>
      <c r="R6" s="16" t="s">
        <v>499</v>
      </c>
      <c r="S6" s="16">
        <f>COUNTIF('Criterios GWT'!B:B,A6)</f>
        <v>3</v>
      </c>
    </row>
    <row r="7" spans="1:19" ht="94.5" customHeight="1" x14ac:dyDescent="0.25">
      <c r="A7" s="18" t="s">
        <v>523</v>
      </c>
      <c r="B7" s="19" t="s">
        <v>486</v>
      </c>
      <c r="C7" s="19" t="s">
        <v>109</v>
      </c>
      <c r="D7" s="19" t="s">
        <v>524</v>
      </c>
      <c r="E7" s="19" t="s">
        <v>525</v>
      </c>
      <c r="F7" s="19" t="s">
        <v>180</v>
      </c>
      <c r="G7" s="19" t="s">
        <v>526</v>
      </c>
      <c r="H7" s="19" t="s">
        <v>527</v>
      </c>
      <c r="I7" s="19" t="s">
        <v>528</v>
      </c>
      <c r="J7" s="19" t="s">
        <v>529</v>
      </c>
      <c r="K7" s="19" t="s">
        <v>530</v>
      </c>
      <c r="L7" s="19" t="s">
        <v>531</v>
      </c>
      <c r="M7" s="18" t="s">
        <v>495</v>
      </c>
      <c r="N7" s="18" t="s">
        <v>496</v>
      </c>
      <c r="O7" s="19" t="s">
        <v>233</v>
      </c>
      <c r="P7" s="19" t="s">
        <v>532</v>
      </c>
      <c r="Q7" s="19" t="s">
        <v>522</v>
      </c>
      <c r="R7" s="18" t="s">
        <v>499</v>
      </c>
      <c r="S7" s="18">
        <f>COUNTIF('Criterios GWT'!B:B,A7)</f>
        <v>3</v>
      </c>
    </row>
    <row r="8" spans="1:19" ht="81" customHeight="1" x14ac:dyDescent="0.25">
      <c r="A8" s="16" t="s">
        <v>533</v>
      </c>
      <c r="B8" s="17" t="s">
        <v>486</v>
      </c>
      <c r="C8" s="17" t="s">
        <v>105</v>
      </c>
      <c r="D8" s="17" t="s">
        <v>534</v>
      </c>
      <c r="E8" s="17" t="s">
        <v>535</v>
      </c>
      <c r="F8" s="17" t="s">
        <v>173</v>
      </c>
      <c r="G8" s="17" t="s">
        <v>536</v>
      </c>
      <c r="H8" s="17" t="s">
        <v>537</v>
      </c>
      <c r="I8" s="17" t="s">
        <v>538</v>
      </c>
      <c r="J8" s="17" t="s">
        <v>539</v>
      </c>
      <c r="K8" s="17" t="s">
        <v>343</v>
      </c>
      <c r="L8" s="17" t="s">
        <v>540</v>
      </c>
      <c r="M8" s="16" t="s">
        <v>495</v>
      </c>
      <c r="N8" s="16" t="s">
        <v>496</v>
      </c>
      <c r="O8" s="17" t="s">
        <v>541</v>
      </c>
      <c r="P8" s="17" t="s">
        <v>542</v>
      </c>
      <c r="Q8" s="17" t="s">
        <v>543</v>
      </c>
      <c r="R8" s="16" t="s">
        <v>499</v>
      </c>
      <c r="S8" s="16">
        <f>COUNTIF('Criterios GWT'!B:B,A8)</f>
        <v>3</v>
      </c>
    </row>
    <row r="9" spans="1:19" ht="67.5" customHeight="1" x14ac:dyDescent="0.25">
      <c r="A9" s="18" t="s">
        <v>544</v>
      </c>
      <c r="B9" s="19" t="s">
        <v>486</v>
      </c>
      <c r="C9" s="19" t="s">
        <v>105</v>
      </c>
      <c r="D9" s="19" t="s">
        <v>545</v>
      </c>
      <c r="E9" s="19" t="s">
        <v>546</v>
      </c>
      <c r="F9" s="19" t="s">
        <v>173</v>
      </c>
      <c r="G9" s="19" t="s">
        <v>547</v>
      </c>
      <c r="H9" s="19" t="s">
        <v>548</v>
      </c>
      <c r="I9" s="19" t="s">
        <v>549</v>
      </c>
      <c r="J9" s="19" t="s">
        <v>550</v>
      </c>
      <c r="K9" s="19" t="s">
        <v>551</v>
      </c>
      <c r="L9" s="19" t="s">
        <v>552</v>
      </c>
      <c r="M9" s="18" t="s">
        <v>495</v>
      </c>
      <c r="N9" s="18" t="s">
        <v>496</v>
      </c>
      <c r="O9" s="19" t="s">
        <v>541</v>
      </c>
      <c r="P9" s="19" t="s">
        <v>553</v>
      </c>
      <c r="Q9" s="19" t="s">
        <v>554</v>
      </c>
      <c r="R9" s="18" t="s">
        <v>499</v>
      </c>
      <c r="S9" s="18">
        <f>COUNTIF('Criterios GWT'!B:B,A9)</f>
        <v>3</v>
      </c>
    </row>
    <row r="10" spans="1:19" ht="108" customHeight="1" x14ac:dyDescent="0.25">
      <c r="A10" s="16" t="s">
        <v>555</v>
      </c>
      <c r="B10" s="17" t="s">
        <v>486</v>
      </c>
      <c r="C10" s="17" t="s">
        <v>122</v>
      </c>
      <c r="D10" s="17" t="s">
        <v>556</v>
      </c>
      <c r="E10" s="17" t="s">
        <v>557</v>
      </c>
      <c r="F10" s="17" t="s">
        <v>218</v>
      </c>
      <c r="G10" s="17" t="s">
        <v>558</v>
      </c>
      <c r="H10" s="17" t="s">
        <v>559</v>
      </c>
      <c r="I10" s="17" t="s">
        <v>560</v>
      </c>
      <c r="J10" s="17" t="s">
        <v>561</v>
      </c>
      <c r="K10" s="17" t="s">
        <v>562</v>
      </c>
      <c r="L10" s="17" t="s">
        <v>563</v>
      </c>
      <c r="M10" s="16" t="s">
        <v>495</v>
      </c>
      <c r="N10" s="16" t="s">
        <v>496</v>
      </c>
      <c r="O10" s="17" t="s">
        <v>541</v>
      </c>
      <c r="P10" s="17" t="s">
        <v>564</v>
      </c>
      <c r="Q10" s="17" t="s">
        <v>565</v>
      </c>
      <c r="R10" s="16" t="s">
        <v>499</v>
      </c>
      <c r="S10" s="16">
        <f>COUNTIF('Criterios GWT'!B:B,A10)</f>
        <v>3</v>
      </c>
    </row>
    <row r="11" spans="1:19" ht="108" hidden="1" customHeight="1" x14ac:dyDescent="0.25">
      <c r="A11" s="18" t="s">
        <v>566</v>
      </c>
      <c r="B11" s="19" t="s">
        <v>567</v>
      </c>
      <c r="C11" s="19" t="s">
        <v>122</v>
      </c>
      <c r="D11" s="19" t="s">
        <v>568</v>
      </c>
      <c r="E11" s="19" t="s">
        <v>569</v>
      </c>
      <c r="F11" s="19" t="s">
        <v>570</v>
      </c>
      <c r="G11" s="19" t="s">
        <v>571</v>
      </c>
      <c r="H11" s="19" t="s">
        <v>572</v>
      </c>
      <c r="I11" s="19" t="s">
        <v>573</v>
      </c>
      <c r="J11" s="19" t="s">
        <v>574</v>
      </c>
      <c r="K11" s="19" t="s">
        <v>346</v>
      </c>
      <c r="L11" s="19" t="s">
        <v>575</v>
      </c>
      <c r="M11" s="18" t="s">
        <v>495</v>
      </c>
      <c r="N11" s="18" t="s">
        <v>496</v>
      </c>
      <c r="O11" s="19" t="s">
        <v>576</v>
      </c>
      <c r="P11" s="19" t="s">
        <v>577</v>
      </c>
      <c r="Q11" s="19" t="s">
        <v>578</v>
      </c>
      <c r="R11" s="18" t="s">
        <v>499</v>
      </c>
      <c r="S11" s="18">
        <f>COUNTIF('Criterios GWT'!B:B,A11)</f>
        <v>3</v>
      </c>
    </row>
    <row r="12" spans="1:19" ht="94.5" hidden="1" customHeight="1" x14ac:dyDescent="0.25">
      <c r="A12" s="16" t="s">
        <v>579</v>
      </c>
      <c r="B12" s="17" t="s">
        <v>567</v>
      </c>
      <c r="C12" s="17" t="s">
        <v>109</v>
      </c>
      <c r="D12" s="17" t="s">
        <v>580</v>
      </c>
      <c r="E12" s="17" t="s">
        <v>581</v>
      </c>
      <c r="F12" s="17" t="s">
        <v>180</v>
      </c>
      <c r="G12" s="17" t="s">
        <v>582</v>
      </c>
      <c r="H12" s="17" t="s">
        <v>583</v>
      </c>
      <c r="I12" s="17" t="s">
        <v>584</v>
      </c>
      <c r="J12" s="17" t="s">
        <v>585</v>
      </c>
      <c r="K12" s="17" t="s">
        <v>586</v>
      </c>
      <c r="L12" s="17" t="s">
        <v>587</v>
      </c>
      <c r="M12" s="16" t="s">
        <v>495</v>
      </c>
      <c r="N12" s="16" t="s">
        <v>496</v>
      </c>
      <c r="O12" s="17" t="s">
        <v>240</v>
      </c>
      <c r="P12" s="17" t="s">
        <v>588</v>
      </c>
      <c r="Q12" s="17" t="s">
        <v>589</v>
      </c>
      <c r="R12" s="16" t="s">
        <v>499</v>
      </c>
      <c r="S12" s="16">
        <f>COUNTIF('Criterios GWT'!B:B,A12)</f>
        <v>3</v>
      </c>
    </row>
    <row r="13" spans="1:19" ht="94.5" hidden="1" customHeight="1" x14ac:dyDescent="0.25">
      <c r="A13" s="18" t="s">
        <v>590</v>
      </c>
      <c r="B13" s="19" t="s">
        <v>567</v>
      </c>
      <c r="C13" s="19" t="s">
        <v>162</v>
      </c>
      <c r="D13" s="19" t="s">
        <v>591</v>
      </c>
      <c r="E13" s="19" t="s">
        <v>592</v>
      </c>
      <c r="F13" s="19" t="s">
        <v>593</v>
      </c>
      <c r="G13" s="19" t="s">
        <v>594</v>
      </c>
      <c r="H13" s="19" t="s">
        <v>595</v>
      </c>
      <c r="I13" s="19" t="s">
        <v>596</v>
      </c>
      <c r="J13" s="19" t="s">
        <v>597</v>
      </c>
      <c r="K13" s="19" t="s">
        <v>349</v>
      </c>
      <c r="L13" s="19" t="s">
        <v>598</v>
      </c>
      <c r="M13" s="18" t="s">
        <v>495</v>
      </c>
      <c r="N13" s="18" t="s">
        <v>496</v>
      </c>
      <c r="O13" s="19" t="s">
        <v>240</v>
      </c>
      <c r="P13" s="19" t="s">
        <v>599</v>
      </c>
      <c r="Q13" s="19" t="s">
        <v>600</v>
      </c>
      <c r="R13" s="18" t="s">
        <v>499</v>
      </c>
      <c r="S13" s="18">
        <f>COUNTIF('Criterios GWT'!B:B,A13)</f>
        <v>3</v>
      </c>
    </row>
    <row r="14" spans="1:19" ht="94.5" hidden="1" customHeight="1" x14ac:dyDescent="0.25">
      <c r="A14" s="16" t="s">
        <v>601</v>
      </c>
      <c r="B14" s="17" t="s">
        <v>567</v>
      </c>
      <c r="C14" s="17" t="s">
        <v>109</v>
      </c>
      <c r="D14" s="17" t="s">
        <v>602</v>
      </c>
      <c r="E14" s="17" t="s">
        <v>603</v>
      </c>
      <c r="F14" s="17" t="s">
        <v>180</v>
      </c>
      <c r="G14" s="17" t="s">
        <v>604</v>
      </c>
      <c r="H14" s="17" t="s">
        <v>605</v>
      </c>
      <c r="I14" s="17" t="s">
        <v>606</v>
      </c>
      <c r="J14" s="17" t="s">
        <v>607</v>
      </c>
      <c r="K14" s="17" t="s">
        <v>608</v>
      </c>
      <c r="L14" s="17" t="s">
        <v>609</v>
      </c>
      <c r="M14" s="16" t="s">
        <v>495</v>
      </c>
      <c r="N14" s="16" t="s">
        <v>496</v>
      </c>
      <c r="O14" s="17" t="s">
        <v>240</v>
      </c>
      <c r="P14" s="17" t="s">
        <v>599</v>
      </c>
      <c r="Q14" s="17" t="s">
        <v>610</v>
      </c>
      <c r="R14" s="16" t="s">
        <v>499</v>
      </c>
      <c r="S14" s="16">
        <f>COUNTIF('Criterios GWT'!B:B,A14)</f>
        <v>3</v>
      </c>
    </row>
    <row r="15" spans="1:19" ht="54" hidden="1" customHeight="1" x14ac:dyDescent="0.25">
      <c r="A15" s="18" t="s">
        <v>611</v>
      </c>
      <c r="B15" s="19" t="s">
        <v>567</v>
      </c>
      <c r="C15" s="19" t="s">
        <v>109</v>
      </c>
      <c r="D15" s="19" t="s">
        <v>612</v>
      </c>
      <c r="E15" s="19" t="s">
        <v>613</v>
      </c>
      <c r="F15" s="19" t="s">
        <v>180</v>
      </c>
      <c r="G15" s="19" t="s">
        <v>614</v>
      </c>
      <c r="H15" s="19" t="s">
        <v>615</v>
      </c>
      <c r="I15" s="19" t="s">
        <v>616</v>
      </c>
      <c r="J15" s="19" t="s">
        <v>617</v>
      </c>
      <c r="K15" s="19" t="s">
        <v>346</v>
      </c>
      <c r="L15" s="19" t="s">
        <v>618</v>
      </c>
      <c r="M15" s="18" t="s">
        <v>619</v>
      </c>
      <c r="N15" s="18" t="s">
        <v>496</v>
      </c>
      <c r="O15" s="19" t="s">
        <v>240</v>
      </c>
      <c r="P15" s="19" t="s">
        <v>620</v>
      </c>
      <c r="Q15" s="19" t="s">
        <v>543</v>
      </c>
      <c r="R15" s="18" t="s">
        <v>499</v>
      </c>
      <c r="S15" s="18">
        <f>COUNTIF('Criterios GWT'!B:B,A15)</f>
        <v>2</v>
      </c>
    </row>
    <row r="16" spans="1:19" ht="94.5" hidden="1" customHeight="1" x14ac:dyDescent="0.25">
      <c r="A16" s="16" t="s">
        <v>621</v>
      </c>
      <c r="B16" s="17" t="s">
        <v>567</v>
      </c>
      <c r="C16" s="17" t="s">
        <v>109</v>
      </c>
      <c r="D16" s="17" t="s">
        <v>622</v>
      </c>
      <c r="E16" s="17" t="s">
        <v>623</v>
      </c>
      <c r="F16" s="17" t="s">
        <v>180</v>
      </c>
      <c r="G16" s="17" t="s">
        <v>624</v>
      </c>
      <c r="H16" s="17" t="s">
        <v>625</v>
      </c>
      <c r="I16" s="17" t="s">
        <v>626</v>
      </c>
      <c r="J16" s="17" t="s">
        <v>627</v>
      </c>
      <c r="K16" s="17" t="s">
        <v>628</v>
      </c>
      <c r="L16" s="17" t="s">
        <v>629</v>
      </c>
      <c r="M16" s="16" t="s">
        <v>495</v>
      </c>
      <c r="N16" s="16" t="s">
        <v>496</v>
      </c>
      <c r="O16" s="17" t="s">
        <v>240</v>
      </c>
      <c r="P16" s="17" t="s">
        <v>630</v>
      </c>
      <c r="Q16" s="17" t="s">
        <v>631</v>
      </c>
      <c r="R16" s="16" t="s">
        <v>499</v>
      </c>
      <c r="S16" s="16">
        <f>COUNTIF('Criterios GWT'!B:B,A16)</f>
        <v>3</v>
      </c>
    </row>
    <row r="17" spans="1:19" ht="94.5" hidden="1" customHeight="1" x14ac:dyDescent="0.25">
      <c r="A17" s="18" t="s">
        <v>632</v>
      </c>
      <c r="B17" s="19" t="s">
        <v>567</v>
      </c>
      <c r="C17" s="19" t="s">
        <v>109</v>
      </c>
      <c r="D17" s="19" t="s">
        <v>633</v>
      </c>
      <c r="E17" s="19" t="s">
        <v>634</v>
      </c>
      <c r="F17" s="19" t="s">
        <v>180</v>
      </c>
      <c r="G17" s="19" t="s">
        <v>635</v>
      </c>
      <c r="H17" s="19" t="s">
        <v>636</v>
      </c>
      <c r="I17" s="19" t="s">
        <v>637</v>
      </c>
      <c r="J17" s="19" t="s">
        <v>638</v>
      </c>
      <c r="K17" s="19" t="s">
        <v>355</v>
      </c>
      <c r="L17" s="19" t="s">
        <v>639</v>
      </c>
      <c r="M17" s="18" t="s">
        <v>495</v>
      </c>
      <c r="N17" s="18" t="s">
        <v>496</v>
      </c>
      <c r="O17" s="19" t="s">
        <v>240</v>
      </c>
      <c r="P17" s="19" t="s">
        <v>599</v>
      </c>
      <c r="Q17" s="19" t="s">
        <v>640</v>
      </c>
      <c r="R17" s="18" t="s">
        <v>499</v>
      </c>
      <c r="S17" s="18">
        <f>COUNTIF('Criterios GWT'!B:B,A17)</f>
        <v>2</v>
      </c>
    </row>
    <row r="18" spans="1:19" ht="108" hidden="1" customHeight="1" x14ac:dyDescent="0.25">
      <c r="A18" s="16" t="s">
        <v>641</v>
      </c>
      <c r="B18" s="17" t="s">
        <v>567</v>
      </c>
      <c r="C18" s="17" t="s">
        <v>122</v>
      </c>
      <c r="D18" s="17" t="s">
        <v>642</v>
      </c>
      <c r="E18" s="17" t="s">
        <v>643</v>
      </c>
      <c r="F18" s="17" t="s">
        <v>196</v>
      </c>
      <c r="G18" s="17" t="s">
        <v>644</v>
      </c>
      <c r="H18" s="17" t="s">
        <v>645</v>
      </c>
      <c r="I18" s="17" t="s">
        <v>646</v>
      </c>
      <c r="J18" s="17" t="s">
        <v>647</v>
      </c>
      <c r="K18" s="17" t="s">
        <v>648</v>
      </c>
      <c r="L18" s="17" t="s">
        <v>649</v>
      </c>
      <c r="M18" s="16" t="s">
        <v>495</v>
      </c>
      <c r="N18" s="16" t="s">
        <v>496</v>
      </c>
      <c r="O18" s="17" t="s">
        <v>240</v>
      </c>
      <c r="P18" s="17" t="s">
        <v>650</v>
      </c>
      <c r="Q18" s="17" t="s">
        <v>651</v>
      </c>
      <c r="R18" s="16" t="s">
        <v>499</v>
      </c>
      <c r="S18" s="16">
        <f>COUNTIF('Criterios GWT'!B:B,A18)</f>
        <v>3</v>
      </c>
    </row>
    <row r="19" spans="1:19" ht="94.5" hidden="1" customHeight="1" x14ac:dyDescent="0.25">
      <c r="A19" s="18" t="s">
        <v>652</v>
      </c>
      <c r="B19" s="19" t="s">
        <v>567</v>
      </c>
      <c r="C19" s="19" t="s">
        <v>162</v>
      </c>
      <c r="D19" s="19" t="s">
        <v>653</v>
      </c>
      <c r="E19" s="19" t="s">
        <v>654</v>
      </c>
      <c r="F19" s="19" t="s">
        <v>183</v>
      </c>
      <c r="G19" s="19" t="s">
        <v>655</v>
      </c>
      <c r="H19" s="19" t="s">
        <v>656</v>
      </c>
      <c r="I19" s="19" t="s">
        <v>657</v>
      </c>
      <c r="J19" s="19" t="s">
        <v>658</v>
      </c>
      <c r="K19" s="19" t="s">
        <v>346</v>
      </c>
      <c r="L19" s="19" t="s">
        <v>659</v>
      </c>
      <c r="M19" s="18" t="s">
        <v>495</v>
      </c>
      <c r="N19" s="18" t="s">
        <v>496</v>
      </c>
      <c r="O19" s="19" t="s">
        <v>240</v>
      </c>
      <c r="P19" s="19" t="s">
        <v>650</v>
      </c>
      <c r="Q19" s="19" t="s">
        <v>660</v>
      </c>
      <c r="R19" s="18" t="s">
        <v>499</v>
      </c>
      <c r="S19" s="18">
        <f>COUNTIF('Criterios GWT'!B:B,A19)</f>
        <v>3</v>
      </c>
    </row>
    <row r="20" spans="1:19" ht="121.5" hidden="1" customHeight="1" x14ac:dyDescent="0.25">
      <c r="A20" s="16" t="s">
        <v>661</v>
      </c>
      <c r="B20" s="17" t="s">
        <v>567</v>
      </c>
      <c r="C20" s="17" t="s">
        <v>122</v>
      </c>
      <c r="D20" s="17" t="s">
        <v>662</v>
      </c>
      <c r="E20" s="17" t="s">
        <v>663</v>
      </c>
      <c r="F20" s="17" t="s">
        <v>593</v>
      </c>
      <c r="G20" s="17" t="s">
        <v>664</v>
      </c>
      <c r="H20" s="17" t="s">
        <v>665</v>
      </c>
      <c r="I20" s="17" t="s">
        <v>666</v>
      </c>
      <c r="J20" s="17" t="s">
        <v>667</v>
      </c>
      <c r="K20" s="17" t="s">
        <v>352</v>
      </c>
      <c r="L20" s="17" t="s">
        <v>668</v>
      </c>
      <c r="M20" s="16" t="s">
        <v>495</v>
      </c>
      <c r="N20" s="16" t="s">
        <v>496</v>
      </c>
      <c r="O20" s="17" t="s">
        <v>240</v>
      </c>
      <c r="P20" s="17" t="s">
        <v>599</v>
      </c>
      <c r="Q20" s="17" t="s">
        <v>589</v>
      </c>
      <c r="R20" s="16" t="s">
        <v>499</v>
      </c>
      <c r="S20" s="16">
        <f>COUNTIF('Criterios GWT'!B:B,A20)</f>
        <v>2</v>
      </c>
    </row>
    <row r="21" spans="1:19" ht="94.5" hidden="1" customHeight="1" x14ac:dyDescent="0.25">
      <c r="A21" s="18" t="s">
        <v>669</v>
      </c>
      <c r="B21" s="19" t="s">
        <v>567</v>
      </c>
      <c r="C21" s="19" t="s">
        <v>109</v>
      </c>
      <c r="D21" s="19" t="s">
        <v>670</v>
      </c>
      <c r="E21" s="19" t="s">
        <v>671</v>
      </c>
      <c r="F21" s="19" t="s">
        <v>672</v>
      </c>
      <c r="G21" s="19" t="s">
        <v>673</v>
      </c>
      <c r="H21" s="19" t="s">
        <v>674</v>
      </c>
      <c r="I21" s="19" t="s">
        <v>675</v>
      </c>
      <c r="J21" s="19" t="s">
        <v>676</v>
      </c>
      <c r="K21" s="19"/>
      <c r="L21" s="19" t="s">
        <v>677</v>
      </c>
      <c r="M21" s="18" t="s">
        <v>619</v>
      </c>
      <c r="N21" s="18" t="s">
        <v>678</v>
      </c>
      <c r="O21" s="19" t="s">
        <v>240</v>
      </c>
      <c r="P21" s="19" t="s">
        <v>599</v>
      </c>
      <c r="Q21" s="19" t="s">
        <v>679</v>
      </c>
      <c r="R21" s="18" t="s">
        <v>499</v>
      </c>
      <c r="S21" s="18">
        <f>COUNTIF('Criterios GWT'!B:B,A21)</f>
        <v>2</v>
      </c>
    </row>
    <row r="22" spans="1:19" ht="81" hidden="1" customHeight="1" x14ac:dyDescent="0.25">
      <c r="A22" s="16" t="s">
        <v>680</v>
      </c>
      <c r="B22" s="17" t="s">
        <v>567</v>
      </c>
      <c r="C22" s="17" t="s">
        <v>109</v>
      </c>
      <c r="D22" s="17" t="s">
        <v>681</v>
      </c>
      <c r="E22" s="17" t="s">
        <v>682</v>
      </c>
      <c r="F22" s="17" t="s">
        <v>683</v>
      </c>
      <c r="G22" s="17" t="s">
        <v>684</v>
      </c>
      <c r="H22" s="17" t="s">
        <v>685</v>
      </c>
      <c r="I22" s="17" t="s">
        <v>686</v>
      </c>
      <c r="J22" s="17" t="s">
        <v>687</v>
      </c>
      <c r="K22" s="17" t="s">
        <v>468</v>
      </c>
      <c r="L22" s="17" t="s">
        <v>688</v>
      </c>
      <c r="M22" s="16" t="s">
        <v>619</v>
      </c>
      <c r="N22" s="16" t="s">
        <v>496</v>
      </c>
      <c r="O22" s="17" t="s">
        <v>689</v>
      </c>
      <c r="P22" s="17" t="s">
        <v>690</v>
      </c>
      <c r="Q22" s="17" t="s">
        <v>691</v>
      </c>
      <c r="R22" s="16" t="s">
        <v>499</v>
      </c>
      <c r="S22" s="16">
        <f>COUNTIF('Criterios GWT'!B:B,A22)</f>
        <v>2</v>
      </c>
    </row>
    <row r="23" spans="1:19" ht="135" hidden="1" customHeight="1" x14ac:dyDescent="0.25">
      <c r="A23" s="18" t="s">
        <v>692</v>
      </c>
      <c r="B23" s="19" t="s">
        <v>567</v>
      </c>
      <c r="C23" s="19" t="s">
        <v>109</v>
      </c>
      <c r="D23" s="19" t="s">
        <v>693</v>
      </c>
      <c r="E23" s="19" t="s">
        <v>694</v>
      </c>
      <c r="F23" s="19" t="s">
        <v>695</v>
      </c>
      <c r="G23" s="19" t="s">
        <v>696</v>
      </c>
      <c r="H23" s="19" t="s">
        <v>697</v>
      </c>
      <c r="I23" s="19" t="s">
        <v>698</v>
      </c>
      <c r="J23" s="19" t="s">
        <v>699</v>
      </c>
      <c r="K23" s="19" t="s">
        <v>358</v>
      </c>
      <c r="L23" s="19" t="s">
        <v>700</v>
      </c>
      <c r="M23" s="18" t="s">
        <v>495</v>
      </c>
      <c r="N23" s="18" t="s">
        <v>496</v>
      </c>
      <c r="O23" s="19" t="s">
        <v>701</v>
      </c>
      <c r="P23" s="19" t="s">
        <v>702</v>
      </c>
      <c r="Q23" s="19" t="s">
        <v>703</v>
      </c>
      <c r="R23" s="18" t="s">
        <v>499</v>
      </c>
      <c r="S23" s="18">
        <f>COUNTIF('Criterios GWT'!B:B,A23)</f>
        <v>3</v>
      </c>
    </row>
    <row r="24" spans="1:19" ht="81" hidden="1" customHeight="1" x14ac:dyDescent="0.25">
      <c r="A24" s="16" t="s">
        <v>704</v>
      </c>
      <c r="B24" s="17" t="s">
        <v>567</v>
      </c>
      <c r="C24" s="17" t="s">
        <v>109</v>
      </c>
      <c r="D24" s="17" t="s">
        <v>705</v>
      </c>
      <c r="E24" s="17" t="s">
        <v>706</v>
      </c>
      <c r="F24" s="17" t="s">
        <v>180</v>
      </c>
      <c r="G24" s="17" t="s">
        <v>707</v>
      </c>
      <c r="H24" s="17" t="s">
        <v>708</v>
      </c>
      <c r="I24" s="17" t="s">
        <v>709</v>
      </c>
      <c r="J24" s="17" t="s">
        <v>710</v>
      </c>
      <c r="K24" s="17" t="s">
        <v>711</v>
      </c>
      <c r="L24" s="17" t="s">
        <v>712</v>
      </c>
      <c r="M24" s="16" t="s">
        <v>713</v>
      </c>
      <c r="N24" s="16" t="s">
        <v>678</v>
      </c>
      <c r="O24" s="17" t="s">
        <v>714</v>
      </c>
      <c r="P24" s="17" t="s">
        <v>715</v>
      </c>
      <c r="Q24" s="17" t="s">
        <v>716</v>
      </c>
      <c r="R24" s="16" t="s">
        <v>499</v>
      </c>
      <c r="S24" s="16">
        <f>COUNTIF('Criterios GWT'!B:B,A24)</f>
        <v>2</v>
      </c>
    </row>
    <row r="25" spans="1:19" ht="81" hidden="1" customHeight="1" x14ac:dyDescent="0.25">
      <c r="A25" s="18" t="s">
        <v>717</v>
      </c>
      <c r="B25" s="19" t="s">
        <v>718</v>
      </c>
      <c r="C25" s="19" t="s">
        <v>105</v>
      </c>
      <c r="D25" s="19" t="s">
        <v>719</v>
      </c>
      <c r="E25" s="19" t="s">
        <v>720</v>
      </c>
      <c r="F25" s="19" t="s">
        <v>173</v>
      </c>
      <c r="G25" s="19" t="s">
        <v>721</v>
      </c>
      <c r="H25" s="19" t="s">
        <v>722</v>
      </c>
      <c r="I25" s="19" t="s">
        <v>723</v>
      </c>
      <c r="J25" s="19" t="s">
        <v>724</v>
      </c>
      <c r="K25" s="19" t="s">
        <v>361</v>
      </c>
      <c r="L25" s="19" t="s">
        <v>725</v>
      </c>
      <c r="M25" s="18" t="s">
        <v>495</v>
      </c>
      <c r="N25" s="18" t="s">
        <v>496</v>
      </c>
      <c r="O25" s="19" t="s">
        <v>247</v>
      </c>
      <c r="P25" s="19" t="s">
        <v>726</v>
      </c>
      <c r="Q25" s="19" t="s">
        <v>727</v>
      </c>
      <c r="R25" s="18" t="s">
        <v>499</v>
      </c>
      <c r="S25" s="18">
        <f>COUNTIF('Criterios GWT'!B:B,A25)</f>
        <v>2</v>
      </c>
    </row>
    <row r="26" spans="1:19" ht="121.5" hidden="1" customHeight="1" x14ac:dyDescent="0.25">
      <c r="A26" s="16" t="s">
        <v>728</v>
      </c>
      <c r="B26" s="17" t="s">
        <v>718</v>
      </c>
      <c r="C26" s="17" t="s">
        <v>105</v>
      </c>
      <c r="D26" s="17" t="s">
        <v>729</v>
      </c>
      <c r="E26" s="17" t="s">
        <v>730</v>
      </c>
      <c r="F26" s="17" t="s">
        <v>731</v>
      </c>
      <c r="G26" s="17" t="s">
        <v>732</v>
      </c>
      <c r="H26" s="17" t="s">
        <v>733</v>
      </c>
      <c r="I26" s="17" t="s">
        <v>734</v>
      </c>
      <c r="J26" s="17" t="s">
        <v>735</v>
      </c>
      <c r="K26" s="17" t="s">
        <v>736</v>
      </c>
      <c r="L26" s="17" t="s">
        <v>737</v>
      </c>
      <c r="M26" s="16" t="s">
        <v>495</v>
      </c>
      <c r="N26" s="16" t="s">
        <v>496</v>
      </c>
      <c r="O26" s="17" t="s">
        <v>247</v>
      </c>
      <c r="P26" s="17" t="s">
        <v>726</v>
      </c>
      <c r="Q26" s="17" t="s">
        <v>738</v>
      </c>
      <c r="R26" s="16" t="s">
        <v>499</v>
      </c>
      <c r="S26" s="16">
        <f>COUNTIF('Criterios GWT'!B:B,A26)</f>
        <v>3</v>
      </c>
    </row>
    <row r="27" spans="1:19" ht="94.5" hidden="1" customHeight="1" x14ac:dyDescent="0.25">
      <c r="A27" s="18" t="s">
        <v>739</v>
      </c>
      <c r="B27" s="19" t="s">
        <v>718</v>
      </c>
      <c r="C27" s="19" t="s">
        <v>122</v>
      </c>
      <c r="D27" s="19" t="s">
        <v>740</v>
      </c>
      <c r="E27" s="19" t="s">
        <v>741</v>
      </c>
      <c r="F27" s="19" t="s">
        <v>742</v>
      </c>
      <c r="G27" s="19" t="s">
        <v>743</v>
      </c>
      <c r="H27" s="19" t="s">
        <v>744</v>
      </c>
      <c r="I27" s="19" t="s">
        <v>745</v>
      </c>
      <c r="J27" s="19" t="s">
        <v>746</v>
      </c>
      <c r="K27" s="19" t="s">
        <v>361</v>
      </c>
      <c r="L27" s="19" t="s">
        <v>747</v>
      </c>
      <c r="M27" s="18" t="s">
        <v>495</v>
      </c>
      <c r="N27" s="18" t="s">
        <v>496</v>
      </c>
      <c r="O27" s="19" t="s">
        <v>247</v>
      </c>
      <c r="P27" s="19" t="s">
        <v>748</v>
      </c>
      <c r="Q27" s="19" t="s">
        <v>749</v>
      </c>
      <c r="R27" s="18" t="s">
        <v>499</v>
      </c>
      <c r="S27" s="18">
        <f>COUNTIF('Criterios GWT'!B:B,A27)</f>
        <v>3</v>
      </c>
    </row>
    <row r="28" spans="1:19" ht="67.5" hidden="1" customHeight="1" x14ac:dyDescent="0.25">
      <c r="A28" s="16" t="s">
        <v>750</v>
      </c>
      <c r="B28" s="17" t="s">
        <v>718</v>
      </c>
      <c r="C28" s="17" t="s">
        <v>109</v>
      </c>
      <c r="D28" s="17" t="s">
        <v>751</v>
      </c>
      <c r="E28" s="17" t="s">
        <v>752</v>
      </c>
      <c r="F28" s="17" t="s">
        <v>180</v>
      </c>
      <c r="G28" s="17" t="s">
        <v>753</v>
      </c>
      <c r="H28" s="17" t="s">
        <v>754</v>
      </c>
      <c r="I28" s="17" t="s">
        <v>755</v>
      </c>
      <c r="J28" s="17" t="s">
        <v>756</v>
      </c>
      <c r="K28" s="17" t="s">
        <v>361</v>
      </c>
      <c r="L28" s="17" t="s">
        <v>757</v>
      </c>
      <c r="M28" s="16" t="s">
        <v>619</v>
      </c>
      <c r="N28" s="16" t="s">
        <v>496</v>
      </c>
      <c r="O28" s="17" t="s">
        <v>247</v>
      </c>
      <c r="P28" s="17" t="s">
        <v>748</v>
      </c>
      <c r="Q28" s="17" t="s">
        <v>758</v>
      </c>
      <c r="R28" s="16" t="s">
        <v>499</v>
      </c>
      <c r="S28" s="16">
        <f>COUNTIF('Criterios GWT'!B:B,A28)</f>
        <v>2</v>
      </c>
    </row>
    <row r="29" spans="1:19" ht="54" hidden="1" customHeight="1" x14ac:dyDescent="0.25">
      <c r="A29" s="18" t="s">
        <v>759</v>
      </c>
      <c r="B29" s="19" t="s">
        <v>718</v>
      </c>
      <c r="C29" s="19" t="s">
        <v>109</v>
      </c>
      <c r="D29" s="19" t="s">
        <v>760</v>
      </c>
      <c r="E29" s="19" t="s">
        <v>761</v>
      </c>
      <c r="F29" s="19" t="s">
        <v>180</v>
      </c>
      <c r="G29" s="19" t="s">
        <v>762</v>
      </c>
      <c r="H29" s="19" t="s">
        <v>763</v>
      </c>
      <c r="I29" s="19" t="s">
        <v>764</v>
      </c>
      <c r="J29" s="19" t="s">
        <v>765</v>
      </c>
      <c r="K29" s="19" t="s">
        <v>736</v>
      </c>
      <c r="L29" s="19" t="s">
        <v>766</v>
      </c>
      <c r="M29" s="18" t="s">
        <v>495</v>
      </c>
      <c r="N29" s="18" t="s">
        <v>496</v>
      </c>
      <c r="O29" s="19" t="s">
        <v>247</v>
      </c>
      <c r="P29" s="19" t="s">
        <v>748</v>
      </c>
      <c r="Q29" s="19" t="s">
        <v>767</v>
      </c>
      <c r="R29" s="18" t="s">
        <v>499</v>
      </c>
      <c r="S29" s="18">
        <f>COUNTIF('Criterios GWT'!B:B,A29)</f>
        <v>2</v>
      </c>
    </row>
    <row r="30" spans="1:19" ht="54" hidden="1" customHeight="1" x14ac:dyDescent="0.25">
      <c r="A30" s="16" t="s">
        <v>768</v>
      </c>
      <c r="B30" s="17" t="s">
        <v>718</v>
      </c>
      <c r="C30" s="17" t="s">
        <v>122</v>
      </c>
      <c r="D30" s="17" t="s">
        <v>769</v>
      </c>
      <c r="E30" s="17" t="s">
        <v>770</v>
      </c>
      <c r="F30" s="17" t="s">
        <v>196</v>
      </c>
      <c r="G30" s="17" t="s">
        <v>743</v>
      </c>
      <c r="H30" s="17" t="s">
        <v>771</v>
      </c>
      <c r="I30" s="17" t="s">
        <v>772</v>
      </c>
      <c r="J30" s="17" t="s">
        <v>773</v>
      </c>
      <c r="K30" s="17" t="s">
        <v>736</v>
      </c>
      <c r="L30" s="17" t="s">
        <v>774</v>
      </c>
      <c r="M30" s="16" t="s">
        <v>495</v>
      </c>
      <c r="N30" s="16" t="s">
        <v>496</v>
      </c>
      <c r="O30" s="17" t="s">
        <v>775</v>
      </c>
      <c r="P30" s="17" t="s">
        <v>748</v>
      </c>
      <c r="Q30" s="17" t="s">
        <v>776</v>
      </c>
      <c r="R30" s="16" t="s">
        <v>499</v>
      </c>
      <c r="S30" s="16">
        <f>COUNTIF('Criterios GWT'!B:B,A30)</f>
        <v>2</v>
      </c>
    </row>
    <row r="31" spans="1:19" ht="94.5" hidden="1" customHeight="1" x14ac:dyDescent="0.25">
      <c r="A31" s="18" t="s">
        <v>777</v>
      </c>
      <c r="B31" s="19" t="s">
        <v>718</v>
      </c>
      <c r="C31" s="19" t="s">
        <v>105</v>
      </c>
      <c r="D31" s="19" t="s">
        <v>778</v>
      </c>
      <c r="E31" s="19" t="s">
        <v>779</v>
      </c>
      <c r="F31" s="19" t="s">
        <v>173</v>
      </c>
      <c r="G31" s="19" t="s">
        <v>780</v>
      </c>
      <c r="H31" s="19" t="s">
        <v>781</v>
      </c>
      <c r="I31" s="19" t="s">
        <v>782</v>
      </c>
      <c r="J31" s="19" t="s">
        <v>783</v>
      </c>
      <c r="K31" s="19" t="s">
        <v>784</v>
      </c>
      <c r="L31" s="19" t="s">
        <v>785</v>
      </c>
      <c r="M31" s="18" t="s">
        <v>495</v>
      </c>
      <c r="N31" s="18" t="s">
        <v>496</v>
      </c>
      <c r="O31" s="19" t="s">
        <v>247</v>
      </c>
      <c r="P31" s="19" t="s">
        <v>786</v>
      </c>
      <c r="Q31" s="19" t="s">
        <v>787</v>
      </c>
      <c r="R31" s="18" t="s">
        <v>499</v>
      </c>
      <c r="S31" s="18">
        <f>COUNTIF('Criterios GWT'!B:B,A31)</f>
        <v>3</v>
      </c>
    </row>
    <row r="32" spans="1:19" ht="121.5" hidden="1" customHeight="1" x14ac:dyDescent="0.25">
      <c r="A32" s="16" t="s">
        <v>788</v>
      </c>
      <c r="B32" s="17" t="s">
        <v>718</v>
      </c>
      <c r="C32" s="17" t="s">
        <v>109</v>
      </c>
      <c r="D32" s="17" t="s">
        <v>789</v>
      </c>
      <c r="E32" s="17" t="s">
        <v>790</v>
      </c>
      <c r="F32" s="17" t="s">
        <v>250</v>
      </c>
      <c r="G32" s="17" t="s">
        <v>791</v>
      </c>
      <c r="H32" s="17" t="s">
        <v>792</v>
      </c>
      <c r="I32" s="17" t="s">
        <v>793</v>
      </c>
      <c r="J32" s="17" t="s">
        <v>794</v>
      </c>
      <c r="K32" s="17" t="s">
        <v>795</v>
      </c>
      <c r="L32" s="17" t="s">
        <v>796</v>
      </c>
      <c r="M32" s="16" t="s">
        <v>495</v>
      </c>
      <c r="N32" s="16" t="s">
        <v>496</v>
      </c>
      <c r="O32" s="17" t="s">
        <v>797</v>
      </c>
      <c r="P32" s="17" t="s">
        <v>798</v>
      </c>
      <c r="Q32" s="17" t="s">
        <v>799</v>
      </c>
      <c r="R32" s="16" t="s">
        <v>499</v>
      </c>
      <c r="S32" s="16">
        <f>COUNTIF('Criterios GWT'!B:B,A32)</f>
        <v>3</v>
      </c>
    </row>
    <row r="33" spans="1:19" ht="94.5" hidden="1" customHeight="1" x14ac:dyDescent="0.25">
      <c r="A33" s="18" t="s">
        <v>800</v>
      </c>
      <c r="B33" s="19" t="s">
        <v>801</v>
      </c>
      <c r="C33" s="19" t="s">
        <v>122</v>
      </c>
      <c r="D33" s="19" t="s">
        <v>802</v>
      </c>
      <c r="E33" s="19" t="s">
        <v>803</v>
      </c>
      <c r="F33" s="19" t="s">
        <v>570</v>
      </c>
      <c r="G33" s="19" t="s">
        <v>804</v>
      </c>
      <c r="H33" s="19" t="s">
        <v>805</v>
      </c>
      <c r="I33" s="19" t="s">
        <v>806</v>
      </c>
      <c r="J33" s="19" t="s">
        <v>807</v>
      </c>
      <c r="K33" s="19" t="s">
        <v>371</v>
      </c>
      <c r="L33" s="19" t="s">
        <v>808</v>
      </c>
      <c r="M33" s="18" t="s">
        <v>495</v>
      </c>
      <c r="N33" s="18" t="s">
        <v>496</v>
      </c>
      <c r="O33" s="19" t="s">
        <v>247</v>
      </c>
      <c r="P33" s="19" t="s">
        <v>809</v>
      </c>
      <c r="Q33" s="19" t="s">
        <v>810</v>
      </c>
      <c r="R33" s="18" t="s">
        <v>499</v>
      </c>
      <c r="S33" s="18">
        <f>COUNTIF('Criterios GWT'!B:B,A33)</f>
        <v>2</v>
      </c>
    </row>
    <row r="34" spans="1:19" ht="67.5" hidden="1" customHeight="1" x14ac:dyDescent="0.25">
      <c r="A34" s="16" t="s">
        <v>811</v>
      </c>
      <c r="B34" s="17" t="s">
        <v>801</v>
      </c>
      <c r="C34" s="17" t="s">
        <v>109</v>
      </c>
      <c r="D34" s="17" t="s">
        <v>812</v>
      </c>
      <c r="E34" s="17" t="s">
        <v>813</v>
      </c>
      <c r="F34" s="17" t="s">
        <v>180</v>
      </c>
      <c r="G34" s="17" t="s">
        <v>814</v>
      </c>
      <c r="H34" s="17" t="s">
        <v>815</v>
      </c>
      <c r="I34" s="17" t="s">
        <v>816</v>
      </c>
      <c r="J34" s="17" t="s">
        <v>817</v>
      </c>
      <c r="K34" s="17" t="s">
        <v>818</v>
      </c>
      <c r="L34" s="17" t="s">
        <v>819</v>
      </c>
      <c r="M34" s="16" t="s">
        <v>495</v>
      </c>
      <c r="N34" s="16" t="s">
        <v>496</v>
      </c>
      <c r="O34" s="17" t="s">
        <v>247</v>
      </c>
      <c r="P34" s="17" t="s">
        <v>820</v>
      </c>
      <c r="Q34" s="17" t="s">
        <v>821</v>
      </c>
      <c r="R34" s="16" t="s">
        <v>499</v>
      </c>
      <c r="S34" s="16">
        <f>COUNTIF('Criterios GWT'!B:B,A34)</f>
        <v>3</v>
      </c>
    </row>
    <row r="35" spans="1:19" ht="67.5" hidden="1" customHeight="1" x14ac:dyDescent="0.25">
      <c r="A35" s="18" t="s">
        <v>822</v>
      </c>
      <c r="B35" s="19" t="s">
        <v>801</v>
      </c>
      <c r="C35" s="19" t="s">
        <v>122</v>
      </c>
      <c r="D35" s="19" t="s">
        <v>823</v>
      </c>
      <c r="E35" s="19" t="s">
        <v>824</v>
      </c>
      <c r="F35" s="19" t="s">
        <v>196</v>
      </c>
      <c r="G35" s="19" t="s">
        <v>825</v>
      </c>
      <c r="H35" s="19" t="s">
        <v>826</v>
      </c>
      <c r="I35" s="19" t="s">
        <v>827</v>
      </c>
      <c r="J35" s="19" t="s">
        <v>828</v>
      </c>
      <c r="K35" s="19" t="s">
        <v>367</v>
      </c>
      <c r="L35" s="19" t="s">
        <v>829</v>
      </c>
      <c r="M35" s="18" t="s">
        <v>495</v>
      </c>
      <c r="N35" s="18" t="s">
        <v>496</v>
      </c>
      <c r="O35" s="19" t="s">
        <v>247</v>
      </c>
      <c r="P35" s="19" t="s">
        <v>830</v>
      </c>
      <c r="Q35" s="19" t="s">
        <v>831</v>
      </c>
      <c r="R35" s="18" t="s">
        <v>499</v>
      </c>
      <c r="S35" s="18">
        <f>COUNTIF('Criterios GWT'!B:B,A35)</f>
        <v>3</v>
      </c>
    </row>
    <row r="36" spans="1:19" ht="67.5" hidden="1" customHeight="1" x14ac:dyDescent="0.25">
      <c r="A36" s="16" t="s">
        <v>832</v>
      </c>
      <c r="B36" s="17" t="s">
        <v>801</v>
      </c>
      <c r="C36" s="17" t="s">
        <v>109</v>
      </c>
      <c r="D36" s="17" t="s">
        <v>833</v>
      </c>
      <c r="E36" s="17" t="s">
        <v>834</v>
      </c>
      <c r="F36" s="17" t="s">
        <v>180</v>
      </c>
      <c r="G36" s="17" t="s">
        <v>814</v>
      </c>
      <c r="H36" s="17" t="s">
        <v>835</v>
      </c>
      <c r="I36" s="17" t="s">
        <v>836</v>
      </c>
      <c r="J36" s="17" t="s">
        <v>837</v>
      </c>
      <c r="K36" s="17" t="s">
        <v>367</v>
      </c>
      <c r="L36" s="17" t="s">
        <v>838</v>
      </c>
      <c r="M36" s="16" t="s">
        <v>619</v>
      </c>
      <c r="N36" s="16" t="s">
        <v>496</v>
      </c>
      <c r="O36" s="17" t="s">
        <v>247</v>
      </c>
      <c r="P36" s="17" t="s">
        <v>839</v>
      </c>
      <c r="Q36" s="17" t="s">
        <v>840</v>
      </c>
      <c r="R36" s="16" t="s">
        <v>499</v>
      </c>
      <c r="S36" s="16">
        <f>COUNTIF('Criterios GWT'!B:B,A36)</f>
        <v>2</v>
      </c>
    </row>
    <row r="37" spans="1:19" ht="67.5" hidden="1" customHeight="1" x14ac:dyDescent="0.25">
      <c r="A37" s="18" t="s">
        <v>841</v>
      </c>
      <c r="B37" s="19" t="s">
        <v>801</v>
      </c>
      <c r="C37" s="19" t="s">
        <v>109</v>
      </c>
      <c r="D37" s="19" t="s">
        <v>842</v>
      </c>
      <c r="E37" s="19" t="s">
        <v>843</v>
      </c>
      <c r="F37" s="19" t="s">
        <v>695</v>
      </c>
      <c r="G37" s="19" t="s">
        <v>844</v>
      </c>
      <c r="H37" s="19" t="s">
        <v>845</v>
      </c>
      <c r="I37" s="19" t="s">
        <v>846</v>
      </c>
      <c r="J37" s="19" t="s">
        <v>847</v>
      </c>
      <c r="K37" s="19" t="s">
        <v>411</v>
      </c>
      <c r="L37" s="19" t="s">
        <v>848</v>
      </c>
      <c r="M37" s="18" t="s">
        <v>619</v>
      </c>
      <c r="N37" s="18" t="s">
        <v>678</v>
      </c>
      <c r="O37" s="19" t="s">
        <v>797</v>
      </c>
      <c r="P37" s="19" t="s">
        <v>839</v>
      </c>
      <c r="Q37" s="19" t="s">
        <v>849</v>
      </c>
      <c r="R37" s="18" t="s">
        <v>499</v>
      </c>
      <c r="S37" s="18">
        <f>COUNTIF('Criterios GWT'!B:B,A37)</f>
        <v>2</v>
      </c>
    </row>
    <row r="38" spans="1:19" ht="81" hidden="1" customHeight="1" x14ac:dyDescent="0.25">
      <c r="A38" s="16" t="s">
        <v>850</v>
      </c>
      <c r="B38" s="17" t="s">
        <v>851</v>
      </c>
      <c r="C38" s="17" t="s">
        <v>109</v>
      </c>
      <c r="D38" s="17" t="s">
        <v>852</v>
      </c>
      <c r="E38" s="17" t="s">
        <v>853</v>
      </c>
      <c r="F38" s="17" t="s">
        <v>854</v>
      </c>
      <c r="G38" s="17" t="s">
        <v>855</v>
      </c>
      <c r="H38" s="17" t="s">
        <v>856</v>
      </c>
      <c r="I38" s="17" t="s">
        <v>857</v>
      </c>
      <c r="J38" s="17" t="s">
        <v>858</v>
      </c>
      <c r="K38" s="17" t="s">
        <v>859</v>
      </c>
      <c r="L38" s="17" t="s">
        <v>860</v>
      </c>
      <c r="M38" s="16" t="s">
        <v>495</v>
      </c>
      <c r="N38" s="16" t="s">
        <v>496</v>
      </c>
      <c r="O38" s="17" t="s">
        <v>861</v>
      </c>
      <c r="P38" s="17" t="s">
        <v>862</v>
      </c>
      <c r="Q38" s="17" t="s">
        <v>863</v>
      </c>
      <c r="R38" s="16" t="s">
        <v>499</v>
      </c>
      <c r="S38" s="16">
        <f>COUNTIF('Criterios GWT'!B:B,A38)</f>
        <v>3</v>
      </c>
    </row>
    <row r="39" spans="1:19" ht="81" hidden="1" customHeight="1" x14ac:dyDescent="0.25">
      <c r="A39" s="18" t="s">
        <v>864</v>
      </c>
      <c r="B39" s="19" t="s">
        <v>851</v>
      </c>
      <c r="C39" s="19" t="s">
        <v>122</v>
      </c>
      <c r="D39" s="19" t="s">
        <v>865</v>
      </c>
      <c r="E39" s="19" t="s">
        <v>866</v>
      </c>
      <c r="F39" s="19" t="s">
        <v>196</v>
      </c>
      <c r="G39" s="19" t="s">
        <v>867</v>
      </c>
      <c r="H39" s="19" t="s">
        <v>868</v>
      </c>
      <c r="I39" s="19" t="s">
        <v>869</v>
      </c>
      <c r="J39" s="19" t="s">
        <v>870</v>
      </c>
      <c r="K39" s="19" t="s">
        <v>374</v>
      </c>
      <c r="L39" s="19" t="s">
        <v>871</v>
      </c>
      <c r="M39" s="18" t="s">
        <v>495</v>
      </c>
      <c r="N39" s="18" t="s">
        <v>496</v>
      </c>
      <c r="O39" s="19" t="s">
        <v>861</v>
      </c>
      <c r="P39" s="19" t="s">
        <v>872</v>
      </c>
      <c r="Q39" s="19" t="s">
        <v>873</v>
      </c>
      <c r="R39" s="18" t="s">
        <v>499</v>
      </c>
      <c r="S39" s="18">
        <f>COUNTIF('Criterios GWT'!B:B,A39)</f>
        <v>3</v>
      </c>
    </row>
    <row r="40" spans="1:19" ht="81" hidden="1" customHeight="1" x14ac:dyDescent="0.25">
      <c r="A40" s="16" t="s">
        <v>874</v>
      </c>
      <c r="B40" s="17" t="s">
        <v>851</v>
      </c>
      <c r="C40" s="17" t="s">
        <v>122</v>
      </c>
      <c r="D40" s="17" t="s">
        <v>875</v>
      </c>
      <c r="E40" s="17" t="s">
        <v>876</v>
      </c>
      <c r="F40" s="17" t="s">
        <v>196</v>
      </c>
      <c r="G40" s="17" t="s">
        <v>867</v>
      </c>
      <c r="H40" s="17" t="s">
        <v>877</v>
      </c>
      <c r="I40" s="17" t="s">
        <v>878</v>
      </c>
      <c r="J40" s="17" t="s">
        <v>879</v>
      </c>
      <c r="K40" s="17" t="s">
        <v>374</v>
      </c>
      <c r="L40" s="17" t="s">
        <v>880</v>
      </c>
      <c r="M40" s="16" t="s">
        <v>495</v>
      </c>
      <c r="N40" s="16" t="s">
        <v>496</v>
      </c>
      <c r="O40" s="17" t="s">
        <v>881</v>
      </c>
      <c r="P40" s="17" t="s">
        <v>882</v>
      </c>
      <c r="Q40" s="17" t="s">
        <v>883</v>
      </c>
      <c r="R40" s="16" t="s">
        <v>499</v>
      </c>
      <c r="S40" s="16">
        <f>COUNTIF('Criterios GWT'!B:B,A40)</f>
        <v>2</v>
      </c>
    </row>
    <row r="41" spans="1:19" ht="81" hidden="1" customHeight="1" x14ac:dyDescent="0.25">
      <c r="A41" s="18" t="s">
        <v>884</v>
      </c>
      <c r="B41" s="19" t="s">
        <v>851</v>
      </c>
      <c r="C41" s="19" t="s">
        <v>122</v>
      </c>
      <c r="D41" s="19" t="s">
        <v>885</v>
      </c>
      <c r="E41" s="19" t="s">
        <v>886</v>
      </c>
      <c r="F41" s="19" t="s">
        <v>196</v>
      </c>
      <c r="G41" s="19" t="s">
        <v>887</v>
      </c>
      <c r="H41" s="19" t="s">
        <v>888</v>
      </c>
      <c r="I41" s="19" t="s">
        <v>889</v>
      </c>
      <c r="J41" s="19" t="s">
        <v>890</v>
      </c>
      <c r="K41" s="19" t="s">
        <v>891</v>
      </c>
      <c r="L41" s="19" t="s">
        <v>892</v>
      </c>
      <c r="M41" s="18" t="s">
        <v>619</v>
      </c>
      <c r="N41" s="18" t="s">
        <v>678</v>
      </c>
      <c r="O41" s="19" t="s">
        <v>881</v>
      </c>
      <c r="P41" s="19" t="s">
        <v>893</v>
      </c>
      <c r="Q41" s="19" t="s">
        <v>894</v>
      </c>
      <c r="R41" s="18" t="s">
        <v>499</v>
      </c>
      <c r="S41" s="18">
        <f>COUNTIF('Criterios GWT'!B:B,A41)</f>
        <v>2</v>
      </c>
    </row>
    <row r="42" spans="1:19" ht="94.5" hidden="1" customHeight="1" x14ac:dyDescent="0.25">
      <c r="A42" s="16" t="s">
        <v>895</v>
      </c>
      <c r="B42" s="17" t="s">
        <v>896</v>
      </c>
      <c r="C42" s="17" t="s">
        <v>122</v>
      </c>
      <c r="D42" s="17" t="s">
        <v>897</v>
      </c>
      <c r="E42" s="17" t="s">
        <v>898</v>
      </c>
      <c r="F42" s="17" t="s">
        <v>742</v>
      </c>
      <c r="G42" s="17" t="s">
        <v>899</v>
      </c>
      <c r="H42" s="17" t="s">
        <v>900</v>
      </c>
      <c r="I42" s="17" t="s">
        <v>901</v>
      </c>
      <c r="J42" s="17" t="s">
        <v>902</v>
      </c>
      <c r="K42" s="17" t="s">
        <v>903</v>
      </c>
      <c r="L42" s="17" t="s">
        <v>904</v>
      </c>
      <c r="M42" s="16" t="s">
        <v>495</v>
      </c>
      <c r="N42" s="16" t="s">
        <v>496</v>
      </c>
      <c r="O42" s="17" t="s">
        <v>296</v>
      </c>
      <c r="P42" s="17" t="s">
        <v>905</v>
      </c>
      <c r="Q42" s="17" t="s">
        <v>906</v>
      </c>
      <c r="R42" s="16" t="s">
        <v>499</v>
      </c>
      <c r="S42" s="16">
        <f>COUNTIF('Criterios GWT'!B:B,A42)</f>
        <v>3</v>
      </c>
    </row>
    <row r="43" spans="1:19" ht="81" hidden="1" customHeight="1" x14ac:dyDescent="0.25">
      <c r="A43" s="18" t="s">
        <v>907</v>
      </c>
      <c r="B43" s="19" t="s">
        <v>896</v>
      </c>
      <c r="C43" s="19" t="s">
        <v>122</v>
      </c>
      <c r="D43" s="19" t="s">
        <v>908</v>
      </c>
      <c r="E43" s="19" t="s">
        <v>909</v>
      </c>
      <c r="F43" s="19" t="s">
        <v>196</v>
      </c>
      <c r="G43" s="19" t="s">
        <v>910</v>
      </c>
      <c r="H43" s="19" t="s">
        <v>911</v>
      </c>
      <c r="I43" s="19" t="s">
        <v>912</v>
      </c>
      <c r="J43" s="19" t="s">
        <v>913</v>
      </c>
      <c r="K43" s="19" t="s">
        <v>914</v>
      </c>
      <c r="L43" s="19" t="s">
        <v>915</v>
      </c>
      <c r="M43" s="18" t="s">
        <v>495</v>
      </c>
      <c r="N43" s="18" t="s">
        <v>496</v>
      </c>
      <c r="O43" s="19" t="s">
        <v>296</v>
      </c>
      <c r="P43" s="19" t="s">
        <v>916</v>
      </c>
      <c r="Q43" s="19" t="s">
        <v>917</v>
      </c>
      <c r="R43" s="18" t="s">
        <v>499</v>
      </c>
      <c r="S43" s="18">
        <f>COUNTIF('Criterios GWT'!B:B,A43)</f>
        <v>2</v>
      </c>
    </row>
    <row r="44" spans="1:19" ht="81" hidden="1" customHeight="1" x14ac:dyDescent="0.25">
      <c r="A44" s="16" t="s">
        <v>918</v>
      </c>
      <c r="B44" s="17" t="s">
        <v>896</v>
      </c>
      <c r="C44" s="17" t="s">
        <v>122</v>
      </c>
      <c r="D44" s="17" t="s">
        <v>919</v>
      </c>
      <c r="E44" s="17" t="s">
        <v>920</v>
      </c>
      <c r="F44" s="17" t="s">
        <v>921</v>
      </c>
      <c r="G44" s="17" t="s">
        <v>922</v>
      </c>
      <c r="H44" s="17" t="s">
        <v>923</v>
      </c>
      <c r="I44" s="17" t="s">
        <v>924</v>
      </c>
      <c r="J44" s="17" t="s">
        <v>925</v>
      </c>
      <c r="K44" s="17" t="s">
        <v>326</v>
      </c>
      <c r="L44" s="17" t="s">
        <v>926</v>
      </c>
      <c r="M44" s="16" t="s">
        <v>495</v>
      </c>
      <c r="N44" s="16" t="s">
        <v>496</v>
      </c>
      <c r="O44" s="17" t="s">
        <v>296</v>
      </c>
      <c r="P44" s="17" t="s">
        <v>927</v>
      </c>
      <c r="Q44" s="17" t="s">
        <v>928</v>
      </c>
      <c r="R44" s="16" t="s">
        <v>499</v>
      </c>
      <c r="S44" s="16">
        <f>COUNTIF('Criterios GWT'!B:B,A44)</f>
        <v>2</v>
      </c>
    </row>
    <row r="45" spans="1:19" ht="94.5" hidden="1" customHeight="1" x14ac:dyDescent="0.25">
      <c r="A45" s="18" t="s">
        <v>929</v>
      </c>
      <c r="B45" s="19" t="s">
        <v>896</v>
      </c>
      <c r="C45" s="19" t="s">
        <v>109</v>
      </c>
      <c r="D45" s="19" t="s">
        <v>930</v>
      </c>
      <c r="E45" s="19" t="s">
        <v>931</v>
      </c>
      <c r="F45" s="19" t="s">
        <v>180</v>
      </c>
      <c r="G45" s="19" t="s">
        <v>932</v>
      </c>
      <c r="H45" s="19" t="s">
        <v>933</v>
      </c>
      <c r="I45" s="19" t="s">
        <v>934</v>
      </c>
      <c r="J45" s="19" t="s">
        <v>935</v>
      </c>
      <c r="K45" s="19" t="s">
        <v>936</v>
      </c>
      <c r="L45" s="19" t="s">
        <v>937</v>
      </c>
      <c r="M45" s="18" t="s">
        <v>619</v>
      </c>
      <c r="N45" s="18" t="s">
        <v>678</v>
      </c>
      <c r="O45" s="19" t="s">
        <v>296</v>
      </c>
      <c r="P45" s="19" t="s">
        <v>938</v>
      </c>
      <c r="Q45" s="19" t="s">
        <v>554</v>
      </c>
      <c r="R45" s="18" t="s">
        <v>499</v>
      </c>
      <c r="S45" s="18">
        <f>COUNTIF('Criterios GWT'!B:B,A45)</f>
        <v>2</v>
      </c>
    </row>
    <row r="46" spans="1:19" ht="94.5" hidden="1" customHeight="1" x14ac:dyDescent="0.25">
      <c r="A46" s="16" t="s">
        <v>939</v>
      </c>
      <c r="B46" s="17" t="s">
        <v>896</v>
      </c>
      <c r="C46" s="17" t="s">
        <v>122</v>
      </c>
      <c r="D46" s="17" t="s">
        <v>940</v>
      </c>
      <c r="E46" s="17" t="s">
        <v>941</v>
      </c>
      <c r="F46" s="17" t="s">
        <v>942</v>
      </c>
      <c r="G46" s="17" t="s">
        <v>943</v>
      </c>
      <c r="H46" s="17" t="s">
        <v>944</v>
      </c>
      <c r="I46" s="17" t="s">
        <v>945</v>
      </c>
      <c r="J46" s="17" t="s">
        <v>946</v>
      </c>
      <c r="K46" s="17" t="s">
        <v>947</v>
      </c>
      <c r="L46" s="17" t="s">
        <v>948</v>
      </c>
      <c r="M46" s="16" t="s">
        <v>495</v>
      </c>
      <c r="N46" s="16" t="s">
        <v>496</v>
      </c>
      <c r="O46" s="17" t="s">
        <v>949</v>
      </c>
      <c r="P46" s="17" t="s">
        <v>950</v>
      </c>
      <c r="Q46" s="17" t="s">
        <v>951</v>
      </c>
      <c r="R46" s="16" t="s">
        <v>499</v>
      </c>
      <c r="S46" s="16">
        <f>COUNTIF('Criterios GWT'!B:B,A46)</f>
        <v>3</v>
      </c>
    </row>
    <row r="47" spans="1:19" ht="54" hidden="1" customHeight="1" x14ac:dyDescent="0.25">
      <c r="A47" s="18" t="s">
        <v>952</v>
      </c>
      <c r="B47" s="19" t="s">
        <v>953</v>
      </c>
      <c r="C47" s="19" t="s">
        <v>122</v>
      </c>
      <c r="D47" s="19" t="s">
        <v>954</v>
      </c>
      <c r="E47" s="19" t="s">
        <v>955</v>
      </c>
      <c r="F47" s="19" t="s">
        <v>196</v>
      </c>
      <c r="G47" s="19" t="s">
        <v>956</v>
      </c>
      <c r="H47" s="19" t="s">
        <v>957</v>
      </c>
      <c r="I47" s="19" t="s">
        <v>958</v>
      </c>
      <c r="J47" s="19" t="s">
        <v>959</v>
      </c>
      <c r="K47" s="19" t="s">
        <v>903</v>
      </c>
      <c r="L47" s="19" t="s">
        <v>960</v>
      </c>
      <c r="M47" s="18" t="s">
        <v>495</v>
      </c>
      <c r="N47" s="18" t="s">
        <v>496</v>
      </c>
      <c r="O47" s="19" t="s">
        <v>296</v>
      </c>
      <c r="P47" s="19" t="s">
        <v>961</v>
      </c>
      <c r="Q47" s="19" t="s">
        <v>962</v>
      </c>
      <c r="R47" s="18" t="s">
        <v>499</v>
      </c>
      <c r="S47" s="18">
        <f>COUNTIF('Criterios GWT'!B:B,A47)</f>
        <v>3</v>
      </c>
    </row>
    <row r="48" spans="1:19" ht="135" hidden="1" customHeight="1" x14ac:dyDescent="0.25">
      <c r="A48" s="16" t="s">
        <v>963</v>
      </c>
      <c r="B48" s="17" t="s">
        <v>953</v>
      </c>
      <c r="C48" s="17" t="s">
        <v>122</v>
      </c>
      <c r="D48" s="17" t="s">
        <v>964</v>
      </c>
      <c r="E48" s="17" t="s">
        <v>965</v>
      </c>
      <c r="F48" s="17" t="s">
        <v>966</v>
      </c>
      <c r="G48" s="17" t="s">
        <v>967</v>
      </c>
      <c r="H48" s="17" t="s">
        <v>968</v>
      </c>
      <c r="I48" s="17" t="s">
        <v>969</v>
      </c>
      <c r="J48" s="17" t="s">
        <v>970</v>
      </c>
      <c r="K48" s="17" t="s">
        <v>971</v>
      </c>
      <c r="L48" s="17" t="s">
        <v>972</v>
      </c>
      <c r="M48" s="16" t="s">
        <v>495</v>
      </c>
      <c r="N48" s="16" t="s">
        <v>496</v>
      </c>
      <c r="O48" s="17" t="s">
        <v>296</v>
      </c>
      <c r="P48" s="17" t="s">
        <v>973</v>
      </c>
      <c r="Q48" s="17" t="s">
        <v>974</v>
      </c>
      <c r="R48" s="16" t="s">
        <v>499</v>
      </c>
      <c r="S48" s="16">
        <f>COUNTIF('Criterios GWT'!B:B,A48)</f>
        <v>3</v>
      </c>
    </row>
    <row r="49" spans="1:19" ht="81" hidden="1" customHeight="1" x14ac:dyDescent="0.25">
      <c r="A49" s="18" t="s">
        <v>975</v>
      </c>
      <c r="B49" s="19" t="s">
        <v>953</v>
      </c>
      <c r="C49" s="19" t="s">
        <v>122</v>
      </c>
      <c r="D49" s="19" t="s">
        <v>976</v>
      </c>
      <c r="E49" s="19" t="s">
        <v>977</v>
      </c>
      <c r="F49" s="19" t="s">
        <v>978</v>
      </c>
      <c r="G49" s="19" t="s">
        <v>967</v>
      </c>
      <c r="H49" s="19" t="s">
        <v>979</v>
      </c>
      <c r="I49" s="19" t="s">
        <v>980</v>
      </c>
      <c r="J49" s="19" t="s">
        <v>981</v>
      </c>
      <c r="K49" s="19" t="s">
        <v>982</v>
      </c>
      <c r="L49" s="19" t="s">
        <v>983</v>
      </c>
      <c r="M49" s="18" t="s">
        <v>495</v>
      </c>
      <c r="N49" s="18" t="s">
        <v>496</v>
      </c>
      <c r="O49" s="19" t="s">
        <v>984</v>
      </c>
      <c r="P49" s="19" t="s">
        <v>973</v>
      </c>
      <c r="Q49" s="19" t="s">
        <v>985</v>
      </c>
      <c r="R49" s="18" t="s">
        <v>499</v>
      </c>
      <c r="S49" s="18">
        <f>COUNTIF('Criterios GWT'!B:B,A49)</f>
        <v>2</v>
      </c>
    </row>
    <row r="50" spans="1:19" ht="108" hidden="1" customHeight="1" x14ac:dyDescent="0.25">
      <c r="A50" s="16" t="s">
        <v>986</v>
      </c>
      <c r="B50" s="17" t="s">
        <v>953</v>
      </c>
      <c r="C50" s="17" t="s">
        <v>105</v>
      </c>
      <c r="D50" s="17" t="s">
        <v>987</v>
      </c>
      <c r="E50" s="17" t="s">
        <v>988</v>
      </c>
      <c r="F50" s="17" t="s">
        <v>989</v>
      </c>
      <c r="G50" s="17" t="s">
        <v>990</v>
      </c>
      <c r="H50" s="17" t="s">
        <v>991</v>
      </c>
      <c r="I50" s="17" t="s">
        <v>992</v>
      </c>
      <c r="J50" s="17" t="s">
        <v>993</v>
      </c>
      <c r="K50" s="17" t="s">
        <v>420</v>
      </c>
      <c r="L50" s="17" t="s">
        <v>994</v>
      </c>
      <c r="M50" s="16" t="s">
        <v>495</v>
      </c>
      <c r="N50" s="16" t="s">
        <v>496</v>
      </c>
      <c r="O50" s="17" t="s">
        <v>995</v>
      </c>
      <c r="P50" s="17" t="s">
        <v>996</v>
      </c>
      <c r="Q50" s="17" t="s">
        <v>997</v>
      </c>
      <c r="R50" s="16" t="s">
        <v>499</v>
      </c>
      <c r="S50" s="16">
        <f>COUNTIF('Criterios GWT'!B:B,A50)</f>
        <v>3</v>
      </c>
    </row>
    <row r="51" spans="1:19" ht="121.5" hidden="1" customHeight="1" x14ac:dyDescent="0.25">
      <c r="A51" s="18" t="s">
        <v>998</v>
      </c>
      <c r="B51" s="19" t="s">
        <v>953</v>
      </c>
      <c r="C51" s="19" t="s">
        <v>122</v>
      </c>
      <c r="D51" s="19" t="s">
        <v>999</v>
      </c>
      <c r="E51" s="19" t="s">
        <v>1000</v>
      </c>
      <c r="F51" s="19" t="s">
        <v>921</v>
      </c>
      <c r="G51" s="19" t="s">
        <v>1001</v>
      </c>
      <c r="H51" s="19" t="s">
        <v>1002</v>
      </c>
      <c r="I51" s="19" t="s">
        <v>1003</v>
      </c>
      <c r="J51" s="19" t="s">
        <v>1004</v>
      </c>
      <c r="K51" s="19" t="s">
        <v>1005</v>
      </c>
      <c r="L51" s="19" t="s">
        <v>1006</v>
      </c>
      <c r="M51" s="18" t="s">
        <v>619</v>
      </c>
      <c r="N51" s="18" t="s">
        <v>678</v>
      </c>
      <c r="O51" s="19" t="s">
        <v>949</v>
      </c>
      <c r="P51" s="19" t="s">
        <v>1007</v>
      </c>
      <c r="Q51" s="19" t="s">
        <v>1008</v>
      </c>
      <c r="R51" s="18" t="s">
        <v>499</v>
      </c>
      <c r="S51" s="18">
        <f>COUNTIF('Criterios GWT'!B:B,A51)</f>
        <v>3</v>
      </c>
    </row>
    <row r="52" spans="1:19" ht="81" hidden="1" customHeight="1" x14ac:dyDescent="0.25">
      <c r="A52" s="16" t="s">
        <v>1009</v>
      </c>
      <c r="B52" s="17" t="s">
        <v>953</v>
      </c>
      <c r="C52" s="17" t="s">
        <v>162</v>
      </c>
      <c r="D52" s="17" t="s">
        <v>1010</v>
      </c>
      <c r="E52" s="17" t="s">
        <v>1011</v>
      </c>
      <c r="F52" s="17" t="s">
        <v>186</v>
      </c>
      <c r="G52" s="17" t="s">
        <v>1012</v>
      </c>
      <c r="H52" s="17" t="s">
        <v>1013</v>
      </c>
      <c r="I52" s="17" t="s">
        <v>1014</v>
      </c>
      <c r="J52" s="17" t="s">
        <v>1015</v>
      </c>
      <c r="K52" s="17" t="s">
        <v>426</v>
      </c>
      <c r="L52" s="17" t="s">
        <v>1016</v>
      </c>
      <c r="M52" s="16" t="s">
        <v>619</v>
      </c>
      <c r="N52" s="16" t="s">
        <v>678</v>
      </c>
      <c r="O52" s="17" t="s">
        <v>949</v>
      </c>
      <c r="P52" s="17" t="s">
        <v>973</v>
      </c>
      <c r="Q52" s="17" t="s">
        <v>1017</v>
      </c>
      <c r="R52" s="16" t="s">
        <v>499</v>
      </c>
      <c r="S52" s="16">
        <f>COUNTIF('Criterios GWT'!B:B,A52)</f>
        <v>3</v>
      </c>
    </row>
    <row r="53" spans="1:19" ht="54" hidden="1" customHeight="1" x14ac:dyDescent="0.25">
      <c r="A53" s="18" t="s">
        <v>1018</v>
      </c>
      <c r="B53" s="19" t="s">
        <v>953</v>
      </c>
      <c r="C53" s="19" t="s">
        <v>122</v>
      </c>
      <c r="D53" s="19" t="s">
        <v>1019</v>
      </c>
      <c r="E53" s="19" t="s">
        <v>1020</v>
      </c>
      <c r="F53" s="19" t="s">
        <v>742</v>
      </c>
      <c r="G53" s="19" t="s">
        <v>1021</v>
      </c>
      <c r="H53" s="19" t="s">
        <v>1022</v>
      </c>
      <c r="I53" s="19" t="s">
        <v>1023</v>
      </c>
      <c r="J53" s="19" t="s">
        <v>1024</v>
      </c>
      <c r="K53" s="19" t="s">
        <v>426</v>
      </c>
      <c r="L53" s="19" t="s">
        <v>1025</v>
      </c>
      <c r="M53" s="18" t="s">
        <v>619</v>
      </c>
      <c r="N53" s="18" t="s">
        <v>678</v>
      </c>
      <c r="O53" s="19" t="s">
        <v>296</v>
      </c>
      <c r="P53" s="19" t="s">
        <v>1026</v>
      </c>
      <c r="Q53" s="19" t="s">
        <v>1027</v>
      </c>
      <c r="R53" s="18" t="s">
        <v>499</v>
      </c>
      <c r="S53" s="18">
        <f>COUNTIF('Criterios GWT'!B:B,A53)</f>
        <v>2</v>
      </c>
    </row>
    <row r="54" spans="1:19" ht="67.5" hidden="1" customHeight="1" x14ac:dyDescent="0.25">
      <c r="A54" s="16" t="s">
        <v>1028</v>
      </c>
      <c r="B54" s="17" t="s">
        <v>953</v>
      </c>
      <c r="C54" s="17" t="s">
        <v>162</v>
      </c>
      <c r="D54" s="17" t="s">
        <v>1029</v>
      </c>
      <c r="E54" s="17" t="s">
        <v>1030</v>
      </c>
      <c r="F54" s="17" t="s">
        <v>186</v>
      </c>
      <c r="G54" s="17" t="s">
        <v>1031</v>
      </c>
      <c r="H54" s="17" t="s">
        <v>1032</v>
      </c>
      <c r="I54" s="17" t="s">
        <v>1033</v>
      </c>
      <c r="J54" s="17" t="s">
        <v>1034</v>
      </c>
      <c r="K54" s="17" t="s">
        <v>1035</v>
      </c>
      <c r="L54" s="17" t="s">
        <v>1036</v>
      </c>
      <c r="M54" s="16" t="s">
        <v>619</v>
      </c>
      <c r="N54" s="16" t="s">
        <v>678</v>
      </c>
      <c r="O54" s="17" t="s">
        <v>949</v>
      </c>
      <c r="P54" s="17" t="s">
        <v>1037</v>
      </c>
      <c r="Q54" s="17" t="s">
        <v>1038</v>
      </c>
      <c r="R54" s="16" t="s">
        <v>499</v>
      </c>
      <c r="S54" s="16">
        <f>COUNTIF('Criterios GWT'!B:B,A54)</f>
        <v>2</v>
      </c>
    </row>
    <row r="55" spans="1:19" ht="108" hidden="1" customHeight="1" x14ac:dyDescent="0.25">
      <c r="A55" s="18" t="s">
        <v>1039</v>
      </c>
      <c r="B55" s="19" t="s">
        <v>1040</v>
      </c>
      <c r="C55" s="19" t="s">
        <v>109</v>
      </c>
      <c r="D55" s="19" t="s">
        <v>1041</v>
      </c>
      <c r="E55" s="19" t="s">
        <v>1042</v>
      </c>
      <c r="F55" s="19" t="s">
        <v>190</v>
      </c>
      <c r="G55" s="19" t="s">
        <v>1043</v>
      </c>
      <c r="H55" s="19" t="s">
        <v>1044</v>
      </c>
      <c r="I55" s="19" t="s">
        <v>1045</v>
      </c>
      <c r="J55" s="19" t="s">
        <v>1046</v>
      </c>
      <c r="K55" s="19" t="s">
        <v>1047</v>
      </c>
      <c r="L55" s="19" t="s">
        <v>1048</v>
      </c>
      <c r="M55" s="18" t="s">
        <v>495</v>
      </c>
      <c r="N55" s="18" t="s">
        <v>496</v>
      </c>
      <c r="O55" s="19" t="s">
        <v>1049</v>
      </c>
      <c r="P55" s="19" t="s">
        <v>1050</v>
      </c>
      <c r="Q55" s="19" t="s">
        <v>1051</v>
      </c>
      <c r="R55" s="18" t="s">
        <v>499</v>
      </c>
      <c r="S55" s="18">
        <f>COUNTIF('Criterios GWT'!B:B,A55)</f>
        <v>3</v>
      </c>
    </row>
    <row r="56" spans="1:19" ht="121.5" hidden="1" customHeight="1" x14ac:dyDescent="0.25">
      <c r="A56" s="16" t="s">
        <v>1052</v>
      </c>
      <c r="B56" s="17" t="s">
        <v>1040</v>
      </c>
      <c r="C56" s="17" t="s">
        <v>122</v>
      </c>
      <c r="D56" s="17" t="s">
        <v>1053</v>
      </c>
      <c r="E56" s="17" t="s">
        <v>1054</v>
      </c>
      <c r="F56" s="17" t="s">
        <v>742</v>
      </c>
      <c r="G56" s="17" t="s">
        <v>1055</v>
      </c>
      <c r="H56" s="17" t="s">
        <v>1056</v>
      </c>
      <c r="I56" s="17" t="s">
        <v>1057</v>
      </c>
      <c r="J56" s="17" t="s">
        <v>1058</v>
      </c>
      <c r="K56" s="17" t="s">
        <v>1059</v>
      </c>
      <c r="L56" s="17" t="s">
        <v>1060</v>
      </c>
      <c r="M56" s="16" t="s">
        <v>495</v>
      </c>
      <c r="N56" s="16" t="s">
        <v>496</v>
      </c>
      <c r="O56" s="17" t="s">
        <v>254</v>
      </c>
      <c r="P56" s="17" t="s">
        <v>1061</v>
      </c>
      <c r="Q56" s="17" t="s">
        <v>1062</v>
      </c>
      <c r="R56" s="16" t="s">
        <v>499</v>
      </c>
      <c r="S56" s="16">
        <f>COUNTIF('Criterios GWT'!B:B,A56)</f>
        <v>3</v>
      </c>
    </row>
    <row r="57" spans="1:19" ht="67.5" hidden="1" customHeight="1" x14ac:dyDescent="0.25">
      <c r="A57" s="18" t="s">
        <v>1063</v>
      </c>
      <c r="B57" s="19" t="s">
        <v>1040</v>
      </c>
      <c r="C57" s="19" t="s">
        <v>122</v>
      </c>
      <c r="D57" s="19" t="s">
        <v>1064</v>
      </c>
      <c r="E57" s="19" t="s">
        <v>1065</v>
      </c>
      <c r="F57" s="19" t="s">
        <v>742</v>
      </c>
      <c r="G57" s="19" t="s">
        <v>1055</v>
      </c>
      <c r="H57" s="19" t="s">
        <v>1066</v>
      </c>
      <c r="I57" s="19" t="s">
        <v>1067</v>
      </c>
      <c r="J57" s="19" t="s">
        <v>1068</v>
      </c>
      <c r="K57" s="19" t="s">
        <v>1069</v>
      </c>
      <c r="L57" s="19" t="s">
        <v>1070</v>
      </c>
      <c r="M57" s="18" t="s">
        <v>495</v>
      </c>
      <c r="N57" s="18" t="s">
        <v>496</v>
      </c>
      <c r="O57" s="19" t="s">
        <v>254</v>
      </c>
      <c r="P57" s="19" t="s">
        <v>1071</v>
      </c>
      <c r="Q57" s="19" t="s">
        <v>1072</v>
      </c>
      <c r="R57" s="18" t="s">
        <v>499</v>
      </c>
      <c r="S57" s="18">
        <f>COUNTIF('Criterios GWT'!B:B,A57)</f>
        <v>3</v>
      </c>
    </row>
    <row r="58" spans="1:19" ht="108" hidden="1" customHeight="1" x14ac:dyDescent="0.25">
      <c r="A58" s="16" t="s">
        <v>1073</v>
      </c>
      <c r="B58" s="17" t="s">
        <v>1040</v>
      </c>
      <c r="C58" s="17" t="s">
        <v>122</v>
      </c>
      <c r="D58" s="17" t="s">
        <v>1074</v>
      </c>
      <c r="E58" s="17" t="s">
        <v>1075</v>
      </c>
      <c r="F58" s="17" t="s">
        <v>1076</v>
      </c>
      <c r="G58" s="17" t="s">
        <v>1077</v>
      </c>
      <c r="H58" s="17" t="s">
        <v>1078</v>
      </c>
      <c r="I58" s="17" t="s">
        <v>1079</v>
      </c>
      <c r="J58" s="17" t="s">
        <v>1080</v>
      </c>
      <c r="K58" s="17" t="s">
        <v>1081</v>
      </c>
      <c r="L58" s="17" t="s">
        <v>1082</v>
      </c>
      <c r="M58" s="16" t="s">
        <v>495</v>
      </c>
      <c r="N58" s="16" t="s">
        <v>496</v>
      </c>
      <c r="O58" s="17" t="s">
        <v>1083</v>
      </c>
      <c r="P58" s="17" t="s">
        <v>1084</v>
      </c>
      <c r="Q58" s="17" t="s">
        <v>1085</v>
      </c>
      <c r="R58" s="16" t="s">
        <v>499</v>
      </c>
      <c r="S58" s="16">
        <f>COUNTIF('Criterios GWT'!B:B,A58)</f>
        <v>2</v>
      </c>
    </row>
    <row r="59" spans="1:19" ht="67.5" hidden="1" customHeight="1" x14ac:dyDescent="0.25">
      <c r="A59" s="18" t="s">
        <v>1086</v>
      </c>
      <c r="B59" s="19" t="s">
        <v>1040</v>
      </c>
      <c r="C59" s="19" t="s">
        <v>122</v>
      </c>
      <c r="D59" s="19" t="s">
        <v>1087</v>
      </c>
      <c r="E59" s="19" t="s">
        <v>1088</v>
      </c>
      <c r="F59" s="19" t="s">
        <v>1076</v>
      </c>
      <c r="G59" s="19" t="s">
        <v>1089</v>
      </c>
      <c r="H59" s="19" t="s">
        <v>1090</v>
      </c>
      <c r="I59" s="19" t="s">
        <v>1091</v>
      </c>
      <c r="J59" s="19" t="s">
        <v>1092</v>
      </c>
      <c r="K59" s="19" t="s">
        <v>1093</v>
      </c>
      <c r="L59" s="19" t="s">
        <v>1094</v>
      </c>
      <c r="M59" s="18" t="s">
        <v>619</v>
      </c>
      <c r="N59" s="18" t="s">
        <v>678</v>
      </c>
      <c r="O59" s="19" t="s">
        <v>254</v>
      </c>
      <c r="P59" s="19" t="s">
        <v>1095</v>
      </c>
      <c r="Q59" s="19" t="s">
        <v>1096</v>
      </c>
      <c r="R59" s="18" t="s">
        <v>499</v>
      </c>
      <c r="S59" s="18">
        <f>COUNTIF('Criterios GWT'!B:B,A59)</f>
        <v>2</v>
      </c>
    </row>
    <row r="60" spans="1:19" ht="94.5" hidden="1" customHeight="1" x14ac:dyDescent="0.25">
      <c r="A60" s="16" t="s">
        <v>1097</v>
      </c>
      <c r="B60" s="17" t="s">
        <v>1040</v>
      </c>
      <c r="C60" s="17" t="s">
        <v>122</v>
      </c>
      <c r="D60" s="17" t="s">
        <v>1098</v>
      </c>
      <c r="E60" s="17" t="s">
        <v>1099</v>
      </c>
      <c r="F60" s="17" t="s">
        <v>1100</v>
      </c>
      <c r="G60" s="17" t="s">
        <v>558</v>
      </c>
      <c r="H60" s="17" t="s">
        <v>1101</v>
      </c>
      <c r="I60" s="17" t="s">
        <v>1102</v>
      </c>
      <c r="J60" s="17" t="s">
        <v>1103</v>
      </c>
      <c r="K60" s="17" t="s">
        <v>387</v>
      </c>
      <c r="L60" s="17" t="s">
        <v>1104</v>
      </c>
      <c r="M60" s="16" t="s">
        <v>495</v>
      </c>
      <c r="N60" s="16" t="s">
        <v>496</v>
      </c>
      <c r="O60" s="17" t="s">
        <v>254</v>
      </c>
      <c r="P60" s="17" t="s">
        <v>1105</v>
      </c>
      <c r="Q60" s="17" t="s">
        <v>1106</v>
      </c>
      <c r="R60" s="16" t="s">
        <v>499</v>
      </c>
      <c r="S60" s="16">
        <f>COUNTIF('Criterios GWT'!B:B,A60)</f>
        <v>2</v>
      </c>
    </row>
    <row r="61" spans="1:19" ht="81" hidden="1" customHeight="1" x14ac:dyDescent="0.25">
      <c r="A61" s="18" t="s">
        <v>1107</v>
      </c>
      <c r="B61" s="19" t="s">
        <v>1040</v>
      </c>
      <c r="C61" s="19" t="s">
        <v>109</v>
      </c>
      <c r="D61" s="19" t="s">
        <v>1108</v>
      </c>
      <c r="E61" s="19" t="s">
        <v>1109</v>
      </c>
      <c r="F61" s="19" t="s">
        <v>190</v>
      </c>
      <c r="G61" s="19" t="s">
        <v>1110</v>
      </c>
      <c r="H61" s="19" t="s">
        <v>1111</v>
      </c>
      <c r="I61" s="19" t="s">
        <v>1112</v>
      </c>
      <c r="J61" s="19" t="s">
        <v>1113</v>
      </c>
      <c r="K61" s="19" t="s">
        <v>1114</v>
      </c>
      <c r="L61" s="19" t="s">
        <v>1115</v>
      </c>
      <c r="M61" s="18" t="s">
        <v>495</v>
      </c>
      <c r="N61" s="18" t="s">
        <v>496</v>
      </c>
      <c r="O61" s="19" t="s">
        <v>254</v>
      </c>
      <c r="P61" s="19" t="s">
        <v>1116</v>
      </c>
      <c r="Q61" s="19" t="s">
        <v>1117</v>
      </c>
      <c r="R61" s="18" t="s">
        <v>499</v>
      </c>
      <c r="S61" s="18">
        <f>COUNTIF('Criterios GWT'!B:B,A61)</f>
        <v>2</v>
      </c>
    </row>
    <row r="62" spans="1:19" ht="81" hidden="1" customHeight="1" x14ac:dyDescent="0.25">
      <c r="A62" s="16" t="s">
        <v>1118</v>
      </c>
      <c r="B62" s="17" t="s">
        <v>1040</v>
      </c>
      <c r="C62" s="17" t="s">
        <v>122</v>
      </c>
      <c r="D62" s="17" t="s">
        <v>1119</v>
      </c>
      <c r="E62" s="17" t="s">
        <v>1120</v>
      </c>
      <c r="F62" s="17" t="s">
        <v>1100</v>
      </c>
      <c r="G62" s="17" t="s">
        <v>558</v>
      </c>
      <c r="H62" s="17" t="s">
        <v>1121</v>
      </c>
      <c r="I62" s="17" t="s">
        <v>1122</v>
      </c>
      <c r="J62" s="17" t="s">
        <v>1123</v>
      </c>
      <c r="K62" s="17" t="s">
        <v>393</v>
      </c>
      <c r="L62" s="17" t="s">
        <v>1124</v>
      </c>
      <c r="M62" s="16" t="s">
        <v>495</v>
      </c>
      <c r="N62" s="16" t="s">
        <v>496</v>
      </c>
      <c r="O62" s="17" t="s">
        <v>254</v>
      </c>
      <c r="P62" s="17" t="s">
        <v>1125</v>
      </c>
      <c r="Q62" s="17" t="s">
        <v>1126</v>
      </c>
      <c r="R62" s="16" t="s">
        <v>499</v>
      </c>
      <c r="S62" s="16">
        <f>COUNTIF('Criterios GWT'!B:B,A62)</f>
        <v>3</v>
      </c>
    </row>
    <row r="63" spans="1:19" ht="121.5" hidden="1" customHeight="1" x14ac:dyDescent="0.25">
      <c r="A63" s="18" t="s">
        <v>1127</v>
      </c>
      <c r="B63" s="19" t="s">
        <v>1040</v>
      </c>
      <c r="C63" s="19" t="s">
        <v>122</v>
      </c>
      <c r="D63" s="19" t="s">
        <v>1128</v>
      </c>
      <c r="E63" s="19" t="s">
        <v>1129</v>
      </c>
      <c r="F63" s="19" t="s">
        <v>1100</v>
      </c>
      <c r="G63" s="19" t="s">
        <v>558</v>
      </c>
      <c r="H63" s="19" t="s">
        <v>1130</v>
      </c>
      <c r="I63" s="19" t="s">
        <v>1131</v>
      </c>
      <c r="J63" s="19" t="s">
        <v>1132</v>
      </c>
      <c r="K63" s="19" t="s">
        <v>387</v>
      </c>
      <c r="L63" s="19" t="s">
        <v>1133</v>
      </c>
      <c r="M63" s="18" t="s">
        <v>495</v>
      </c>
      <c r="N63" s="18" t="s">
        <v>496</v>
      </c>
      <c r="O63" s="19" t="s">
        <v>1134</v>
      </c>
      <c r="P63" s="19" t="s">
        <v>1135</v>
      </c>
      <c r="Q63" s="19" t="s">
        <v>1136</v>
      </c>
      <c r="R63" s="18" t="s">
        <v>499</v>
      </c>
      <c r="S63" s="18">
        <f>COUNTIF('Criterios GWT'!B:B,A63)</f>
        <v>2</v>
      </c>
    </row>
    <row r="64" spans="1:19" ht="94.5" hidden="1" customHeight="1" x14ac:dyDescent="0.25">
      <c r="A64" s="16" t="s">
        <v>1137</v>
      </c>
      <c r="B64" s="17" t="s">
        <v>1040</v>
      </c>
      <c r="C64" s="17" t="s">
        <v>122</v>
      </c>
      <c r="D64" s="17" t="s">
        <v>1138</v>
      </c>
      <c r="E64" s="17" t="s">
        <v>1139</v>
      </c>
      <c r="F64" s="17" t="s">
        <v>742</v>
      </c>
      <c r="G64" s="17" t="s">
        <v>1140</v>
      </c>
      <c r="H64" s="17" t="s">
        <v>1141</v>
      </c>
      <c r="I64" s="17" t="s">
        <v>1142</v>
      </c>
      <c r="J64" s="17" t="s">
        <v>1143</v>
      </c>
      <c r="K64" s="17" t="s">
        <v>408</v>
      </c>
      <c r="L64" s="17" t="s">
        <v>1144</v>
      </c>
      <c r="M64" s="16" t="s">
        <v>495</v>
      </c>
      <c r="N64" s="16" t="s">
        <v>496</v>
      </c>
      <c r="O64" s="17" t="s">
        <v>254</v>
      </c>
      <c r="P64" s="17" t="s">
        <v>1145</v>
      </c>
      <c r="Q64" s="17" t="s">
        <v>1072</v>
      </c>
      <c r="R64" s="16" t="s">
        <v>499</v>
      </c>
      <c r="S64" s="16">
        <f>COUNTIF('Criterios GWT'!B:B,A64)</f>
        <v>2</v>
      </c>
    </row>
    <row r="65" spans="1:19" ht="108" hidden="1" customHeight="1" x14ac:dyDescent="0.25">
      <c r="A65" s="18" t="s">
        <v>1146</v>
      </c>
      <c r="B65" s="19" t="s">
        <v>1040</v>
      </c>
      <c r="C65" s="19" t="s">
        <v>122</v>
      </c>
      <c r="D65" s="19" t="s">
        <v>1147</v>
      </c>
      <c r="E65" s="19" t="s">
        <v>1148</v>
      </c>
      <c r="F65" s="19" t="s">
        <v>1149</v>
      </c>
      <c r="G65" s="19" t="s">
        <v>1150</v>
      </c>
      <c r="H65" s="19" t="s">
        <v>1151</v>
      </c>
      <c r="I65" s="19" t="s">
        <v>1152</v>
      </c>
      <c r="J65" s="19" t="s">
        <v>1153</v>
      </c>
      <c r="K65" s="19" t="s">
        <v>1154</v>
      </c>
      <c r="L65" s="19" t="s">
        <v>1155</v>
      </c>
      <c r="M65" s="18" t="s">
        <v>619</v>
      </c>
      <c r="N65" s="18" t="s">
        <v>496</v>
      </c>
      <c r="O65" s="19" t="s">
        <v>1156</v>
      </c>
      <c r="P65" s="19" t="s">
        <v>1157</v>
      </c>
      <c r="Q65" s="19" t="s">
        <v>1158</v>
      </c>
      <c r="R65" s="18" t="s">
        <v>499</v>
      </c>
      <c r="S65" s="18">
        <f>COUNTIF('Criterios GWT'!B:B,A65)</f>
        <v>2</v>
      </c>
    </row>
    <row r="66" spans="1:19" ht="81" hidden="1" customHeight="1" x14ac:dyDescent="0.25">
      <c r="A66" s="16" t="s">
        <v>1159</v>
      </c>
      <c r="B66" s="17" t="s">
        <v>1040</v>
      </c>
      <c r="C66" s="17" t="s">
        <v>109</v>
      </c>
      <c r="D66" s="17" t="s">
        <v>1160</v>
      </c>
      <c r="E66" s="17" t="s">
        <v>1161</v>
      </c>
      <c r="F66" s="17" t="s">
        <v>190</v>
      </c>
      <c r="G66" s="17" t="s">
        <v>1162</v>
      </c>
      <c r="H66" s="17" t="s">
        <v>1163</v>
      </c>
      <c r="I66" s="17" t="s">
        <v>1164</v>
      </c>
      <c r="J66" s="17" t="s">
        <v>1165</v>
      </c>
      <c r="K66" s="17" t="s">
        <v>387</v>
      </c>
      <c r="L66" s="17" t="s">
        <v>1166</v>
      </c>
      <c r="M66" s="16" t="s">
        <v>495</v>
      </c>
      <c r="N66" s="16" t="s">
        <v>496</v>
      </c>
      <c r="O66" s="17" t="s">
        <v>1167</v>
      </c>
      <c r="P66" s="17" t="s">
        <v>1168</v>
      </c>
      <c r="Q66" s="17" t="s">
        <v>1169</v>
      </c>
      <c r="R66" s="16" t="s">
        <v>499</v>
      </c>
      <c r="S66" s="16">
        <f>COUNTIF('Criterios GWT'!B:B,A66)</f>
        <v>2</v>
      </c>
    </row>
    <row r="67" spans="1:19" ht="81" hidden="1" customHeight="1" x14ac:dyDescent="0.25">
      <c r="A67" s="18" t="s">
        <v>1170</v>
      </c>
      <c r="B67" s="19" t="s">
        <v>1040</v>
      </c>
      <c r="C67" s="19" t="s">
        <v>109</v>
      </c>
      <c r="D67" s="19" t="s">
        <v>1171</v>
      </c>
      <c r="E67" s="19" t="s">
        <v>1172</v>
      </c>
      <c r="F67" s="19" t="s">
        <v>190</v>
      </c>
      <c r="G67" s="19" t="s">
        <v>1173</v>
      </c>
      <c r="H67" s="19" t="s">
        <v>1174</v>
      </c>
      <c r="I67" s="19" t="s">
        <v>1175</v>
      </c>
      <c r="J67" s="19" t="s">
        <v>1176</v>
      </c>
      <c r="K67" s="19" t="s">
        <v>468</v>
      </c>
      <c r="L67" s="19" t="s">
        <v>1177</v>
      </c>
      <c r="M67" s="18" t="s">
        <v>713</v>
      </c>
      <c r="N67" s="18" t="s">
        <v>1178</v>
      </c>
      <c r="O67" s="19" t="s">
        <v>1167</v>
      </c>
      <c r="P67" s="19" t="s">
        <v>1179</v>
      </c>
      <c r="Q67" s="19" t="s">
        <v>1180</v>
      </c>
      <c r="R67" s="18" t="s">
        <v>499</v>
      </c>
      <c r="S67" s="18">
        <f>COUNTIF('Criterios GWT'!B:B,A67)</f>
        <v>2</v>
      </c>
    </row>
    <row r="68" spans="1:19" ht="108" hidden="1" customHeight="1" x14ac:dyDescent="0.25">
      <c r="A68" s="16" t="s">
        <v>1181</v>
      </c>
      <c r="B68" s="17" t="s">
        <v>1182</v>
      </c>
      <c r="C68" s="17" t="s">
        <v>109</v>
      </c>
      <c r="D68" s="17" t="s">
        <v>1183</v>
      </c>
      <c r="E68" s="17" t="s">
        <v>1184</v>
      </c>
      <c r="F68" s="17" t="s">
        <v>1185</v>
      </c>
      <c r="G68" s="17" t="s">
        <v>1186</v>
      </c>
      <c r="H68" s="17" t="s">
        <v>1187</v>
      </c>
      <c r="I68" s="17" t="s">
        <v>1188</v>
      </c>
      <c r="J68" s="17" t="s">
        <v>1189</v>
      </c>
      <c r="K68" s="17" t="s">
        <v>1190</v>
      </c>
      <c r="L68" s="17" t="s">
        <v>1191</v>
      </c>
      <c r="M68" s="16" t="s">
        <v>495</v>
      </c>
      <c r="N68" s="16" t="s">
        <v>496</v>
      </c>
      <c r="O68" s="17" t="s">
        <v>261</v>
      </c>
      <c r="P68" s="17" t="s">
        <v>1192</v>
      </c>
      <c r="Q68" s="17" t="s">
        <v>1193</v>
      </c>
      <c r="R68" s="16" t="s">
        <v>499</v>
      </c>
      <c r="S68" s="16">
        <f>COUNTIF('Criterios GWT'!B:B,A68)</f>
        <v>2</v>
      </c>
    </row>
    <row r="69" spans="1:19" ht="94.5" hidden="1" customHeight="1" x14ac:dyDescent="0.25">
      <c r="A69" s="18" t="s">
        <v>1194</v>
      </c>
      <c r="B69" s="19" t="s">
        <v>1182</v>
      </c>
      <c r="C69" s="19" t="s">
        <v>122</v>
      </c>
      <c r="D69" s="19" t="s">
        <v>1195</v>
      </c>
      <c r="E69" s="19" t="s">
        <v>1196</v>
      </c>
      <c r="F69" s="19" t="s">
        <v>1149</v>
      </c>
      <c r="G69" s="19" t="s">
        <v>1197</v>
      </c>
      <c r="H69" s="19" t="s">
        <v>1198</v>
      </c>
      <c r="I69" s="19" t="s">
        <v>1199</v>
      </c>
      <c r="J69" s="19" t="s">
        <v>1200</v>
      </c>
      <c r="K69" s="19" t="s">
        <v>396</v>
      </c>
      <c r="L69" s="19" t="s">
        <v>1201</v>
      </c>
      <c r="M69" s="18" t="s">
        <v>495</v>
      </c>
      <c r="N69" s="18" t="s">
        <v>496</v>
      </c>
      <c r="O69" s="19" t="s">
        <v>261</v>
      </c>
      <c r="P69" s="19" t="s">
        <v>1202</v>
      </c>
      <c r="Q69" s="19" t="s">
        <v>1203</v>
      </c>
      <c r="R69" s="18" t="s">
        <v>499</v>
      </c>
      <c r="S69" s="18">
        <f>COUNTIF('Criterios GWT'!B:B,A69)</f>
        <v>3</v>
      </c>
    </row>
    <row r="70" spans="1:19" ht="81" hidden="1" customHeight="1" x14ac:dyDescent="0.25">
      <c r="A70" s="16" t="s">
        <v>1204</v>
      </c>
      <c r="B70" s="17" t="s">
        <v>1182</v>
      </c>
      <c r="C70" s="17" t="s">
        <v>122</v>
      </c>
      <c r="D70" s="17" t="s">
        <v>1205</v>
      </c>
      <c r="E70" s="17" t="s">
        <v>1206</v>
      </c>
      <c r="F70" s="17" t="s">
        <v>942</v>
      </c>
      <c r="G70" s="17" t="s">
        <v>1197</v>
      </c>
      <c r="H70" s="17" t="s">
        <v>1207</v>
      </c>
      <c r="I70" s="17" t="s">
        <v>1208</v>
      </c>
      <c r="J70" s="17" t="s">
        <v>1209</v>
      </c>
      <c r="K70" s="17" t="s">
        <v>396</v>
      </c>
      <c r="L70" s="17" t="s">
        <v>1210</v>
      </c>
      <c r="M70" s="16" t="s">
        <v>495</v>
      </c>
      <c r="N70" s="16" t="s">
        <v>496</v>
      </c>
      <c r="O70" s="17" t="s">
        <v>261</v>
      </c>
      <c r="P70" s="17" t="s">
        <v>1202</v>
      </c>
      <c r="Q70" s="17" t="s">
        <v>1211</v>
      </c>
      <c r="R70" s="16" t="s">
        <v>499</v>
      </c>
      <c r="S70" s="16">
        <f>COUNTIF('Criterios GWT'!B:B,A70)</f>
        <v>2</v>
      </c>
    </row>
    <row r="71" spans="1:19" ht="94.5" hidden="1" customHeight="1" x14ac:dyDescent="0.25">
      <c r="A71" s="18" t="s">
        <v>1212</v>
      </c>
      <c r="B71" s="19" t="s">
        <v>1182</v>
      </c>
      <c r="C71" s="19" t="s">
        <v>122</v>
      </c>
      <c r="D71" s="19" t="s">
        <v>1213</v>
      </c>
      <c r="E71" s="19" t="s">
        <v>1214</v>
      </c>
      <c r="F71" s="19" t="s">
        <v>742</v>
      </c>
      <c r="G71" s="19" t="s">
        <v>1215</v>
      </c>
      <c r="H71" s="19" t="s">
        <v>1216</v>
      </c>
      <c r="I71" s="19" t="s">
        <v>1217</v>
      </c>
      <c r="J71" s="19" t="s">
        <v>1218</v>
      </c>
      <c r="K71" s="19" t="s">
        <v>1219</v>
      </c>
      <c r="L71" s="19" t="s">
        <v>1220</v>
      </c>
      <c r="M71" s="18" t="s">
        <v>619</v>
      </c>
      <c r="N71" s="18" t="s">
        <v>496</v>
      </c>
      <c r="O71" s="19" t="s">
        <v>1221</v>
      </c>
      <c r="P71" s="19" t="s">
        <v>1222</v>
      </c>
      <c r="Q71" s="19" t="s">
        <v>1223</v>
      </c>
      <c r="R71" s="18" t="s">
        <v>499</v>
      </c>
      <c r="S71" s="18">
        <f>COUNTIF('Criterios GWT'!B:B,A71)</f>
        <v>2</v>
      </c>
    </row>
    <row r="72" spans="1:19" ht="108" hidden="1" customHeight="1" x14ac:dyDescent="0.25">
      <c r="A72" s="16" t="s">
        <v>1224</v>
      </c>
      <c r="B72" s="17" t="s">
        <v>1182</v>
      </c>
      <c r="C72" s="17" t="s">
        <v>122</v>
      </c>
      <c r="D72" s="17" t="s">
        <v>1225</v>
      </c>
      <c r="E72" s="17" t="s">
        <v>1226</v>
      </c>
      <c r="F72" s="17" t="s">
        <v>203</v>
      </c>
      <c r="G72" s="17" t="s">
        <v>1227</v>
      </c>
      <c r="H72" s="17" t="s">
        <v>1228</v>
      </c>
      <c r="I72" s="17" t="s">
        <v>1229</v>
      </c>
      <c r="J72" s="17" t="s">
        <v>1230</v>
      </c>
      <c r="K72" s="17" t="s">
        <v>396</v>
      </c>
      <c r="L72" s="17" t="s">
        <v>1231</v>
      </c>
      <c r="M72" s="16" t="s">
        <v>495</v>
      </c>
      <c r="N72" s="16" t="s">
        <v>496</v>
      </c>
      <c r="O72" s="17" t="s">
        <v>261</v>
      </c>
      <c r="P72" s="17" t="s">
        <v>1232</v>
      </c>
      <c r="Q72" s="17" t="s">
        <v>1233</v>
      </c>
      <c r="R72" s="16" t="s">
        <v>499</v>
      </c>
      <c r="S72" s="16">
        <f>COUNTIF('Criterios GWT'!B:B,A72)</f>
        <v>3</v>
      </c>
    </row>
    <row r="73" spans="1:19" ht="94.5" hidden="1" customHeight="1" x14ac:dyDescent="0.25">
      <c r="A73" s="18" t="s">
        <v>1234</v>
      </c>
      <c r="B73" s="19" t="s">
        <v>1182</v>
      </c>
      <c r="C73" s="19" t="s">
        <v>109</v>
      </c>
      <c r="D73" s="19" t="s">
        <v>1235</v>
      </c>
      <c r="E73" s="19" t="s">
        <v>1236</v>
      </c>
      <c r="F73" s="19" t="s">
        <v>1237</v>
      </c>
      <c r="G73" s="19" t="s">
        <v>1238</v>
      </c>
      <c r="H73" s="19" t="s">
        <v>1239</v>
      </c>
      <c r="I73" s="19" t="s">
        <v>1240</v>
      </c>
      <c r="J73" s="19" t="s">
        <v>1241</v>
      </c>
      <c r="K73" s="19" t="s">
        <v>1242</v>
      </c>
      <c r="L73" s="19" t="s">
        <v>1243</v>
      </c>
      <c r="M73" s="18" t="s">
        <v>495</v>
      </c>
      <c r="N73" s="18" t="s">
        <v>496</v>
      </c>
      <c r="O73" s="19" t="s">
        <v>261</v>
      </c>
      <c r="P73" s="19" t="s">
        <v>1244</v>
      </c>
      <c r="Q73" s="19" t="s">
        <v>1245</v>
      </c>
      <c r="R73" s="18" t="s">
        <v>499</v>
      </c>
      <c r="S73" s="18">
        <f>COUNTIF('Criterios GWT'!B:B,A73)</f>
        <v>2</v>
      </c>
    </row>
    <row r="74" spans="1:19" ht="121.5" hidden="1" customHeight="1" x14ac:dyDescent="0.25">
      <c r="A74" s="16" t="s">
        <v>1246</v>
      </c>
      <c r="B74" s="17" t="s">
        <v>1182</v>
      </c>
      <c r="C74" s="17" t="s">
        <v>122</v>
      </c>
      <c r="D74" s="17" t="s">
        <v>1247</v>
      </c>
      <c r="E74" s="17" t="s">
        <v>1248</v>
      </c>
      <c r="F74" s="17" t="s">
        <v>1249</v>
      </c>
      <c r="G74" s="17" t="s">
        <v>1250</v>
      </c>
      <c r="H74" s="17" t="s">
        <v>1251</v>
      </c>
      <c r="I74" s="17" t="s">
        <v>1252</v>
      </c>
      <c r="J74" s="17" t="s">
        <v>1253</v>
      </c>
      <c r="K74" s="17" t="s">
        <v>1254</v>
      </c>
      <c r="L74" s="17" t="s">
        <v>1255</v>
      </c>
      <c r="M74" s="16" t="s">
        <v>619</v>
      </c>
      <c r="N74" s="16" t="s">
        <v>678</v>
      </c>
      <c r="O74" s="17" t="s">
        <v>261</v>
      </c>
      <c r="P74" s="17" t="s">
        <v>1256</v>
      </c>
      <c r="Q74" s="17" t="s">
        <v>1257</v>
      </c>
      <c r="R74" s="16" t="s">
        <v>499</v>
      </c>
      <c r="S74" s="16">
        <f>COUNTIF('Criterios GWT'!B:B,A74)</f>
        <v>2</v>
      </c>
    </row>
    <row r="75" spans="1:19" ht="94.5" hidden="1" customHeight="1" x14ac:dyDescent="0.25">
      <c r="A75" s="18" t="s">
        <v>1258</v>
      </c>
      <c r="B75" s="19" t="s">
        <v>1182</v>
      </c>
      <c r="C75" s="19" t="s">
        <v>109</v>
      </c>
      <c r="D75" s="19" t="s">
        <v>1259</v>
      </c>
      <c r="E75" s="19" t="s">
        <v>1260</v>
      </c>
      <c r="F75" s="19" t="s">
        <v>1261</v>
      </c>
      <c r="G75" s="19" t="s">
        <v>1262</v>
      </c>
      <c r="H75" s="19" t="s">
        <v>1263</v>
      </c>
      <c r="I75" s="19" t="s">
        <v>1264</v>
      </c>
      <c r="J75" s="19" t="s">
        <v>1265</v>
      </c>
      <c r="K75" s="19" t="s">
        <v>399</v>
      </c>
      <c r="L75" s="19" t="s">
        <v>1266</v>
      </c>
      <c r="M75" s="18" t="s">
        <v>495</v>
      </c>
      <c r="N75" s="18" t="s">
        <v>678</v>
      </c>
      <c r="O75" s="19" t="s">
        <v>1267</v>
      </c>
      <c r="P75" s="19" t="s">
        <v>1268</v>
      </c>
      <c r="Q75" s="19" t="s">
        <v>1269</v>
      </c>
      <c r="R75" s="18" t="s">
        <v>499</v>
      </c>
      <c r="S75" s="18">
        <f>COUNTIF('Criterios GWT'!B:B,A75)</f>
        <v>3</v>
      </c>
    </row>
    <row r="76" spans="1:19" ht="94.5" hidden="1" customHeight="1" x14ac:dyDescent="0.25">
      <c r="A76" s="16" t="s">
        <v>1270</v>
      </c>
      <c r="B76" s="17" t="s">
        <v>1182</v>
      </c>
      <c r="C76" s="17" t="s">
        <v>105</v>
      </c>
      <c r="D76" s="17" t="s">
        <v>1271</v>
      </c>
      <c r="E76" s="17" t="s">
        <v>1272</v>
      </c>
      <c r="F76" s="17" t="s">
        <v>1273</v>
      </c>
      <c r="G76" s="17" t="s">
        <v>1274</v>
      </c>
      <c r="H76" s="17" t="s">
        <v>1275</v>
      </c>
      <c r="I76" s="17" t="s">
        <v>1276</v>
      </c>
      <c r="J76" s="17" t="s">
        <v>1277</v>
      </c>
      <c r="K76" s="17" t="s">
        <v>1278</v>
      </c>
      <c r="L76" s="17" t="s">
        <v>1279</v>
      </c>
      <c r="M76" s="16" t="s">
        <v>495</v>
      </c>
      <c r="N76" s="16" t="s">
        <v>678</v>
      </c>
      <c r="O76" s="17" t="s">
        <v>541</v>
      </c>
      <c r="P76" s="17" t="s">
        <v>1280</v>
      </c>
      <c r="Q76" s="17" t="s">
        <v>1281</v>
      </c>
      <c r="R76" s="16" t="s">
        <v>499</v>
      </c>
      <c r="S76" s="16">
        <f>COUNTIF('Criterios GWT'!B:B,A76)</f>
        <v>2</v>
      </c>
    </row>
    <row r="77" spans="1:19" ht="94.5" hidden="1" customHeight="1" x14ac:dyDescent="0.25">
      <c r="A77" s="18" t="s">
        <v>1282</v>
      </c>
      <c r="B77" s="19" t="s">
        <v>1283</v>
      </c>
      <c r="C77" s="19" t="s">
        <v>109</v>
      </c>
      <c r="D77" s="19" t="s">
        <v>1284</v>
      </c>
      <c r="E77" s="19" t="s">
        <v>1285</v>
      </c>
      <c r="F77" s="19" t="s">
        <v>731</v>
      </c>
      <c r="G77" s="19" t="s">
        <v>1286</v>
      </c>
      <c r="H77" s="19" t="s">
        <v>1287</v>
      </c>
      <c r="I77" s="19" t="s">
        <v>1288</v>
      </c>
      <c r="J77" s="19" t="s">
        <v>1289</v>
      </c>
      <c r="K77" s="19" t="s">
        <v>405</v>
      </c>
      <c r="L77" s="19" t="s">
        <v>1290</v>
      </c>
      <c r="M77" s="18" t="s">
        <v>495</v>
      </c>
      <c r="N77" s="18" t="s">
        <v>496</v>
      </c>
      <c r="O77" s="19" t="s">
        <v>268</v>
      </c>
      <c r="P77" s="19" t="s">
        <v>1291</v>
      </c>
      <c r="Q77" s="19" t="s">
        <v>840</v>
      </c>
      <c r="R77" s="18" t="s">
        <v>499</v>
      </c>
      <c r="S77" s="18">
        <f>COUNTIF('Criterios GWT'!B:B,A77)</f>
        <v>3</v>
      </c>
    </row>
    <row r="78" spans="1:19" ht="94.5" hidden="1" customHeight="1" x14ac:dyDescent="0.25">
      <c r="A78" s="16" t="s">
        <v>1292</v>
      </c>
      <c r="B78" s="17" t="s">
        <v>1283</v>
      </c>
      <c r="C78" s="17" t="s">
        <v>122</v>
      </c>
      <c r="D78" s="17" t="s">
        <v>1293</v>
      </c>
      <c r="E78" s="17" t="s">
        <v>1294</v>
      </c>
      <c r="F78" s="17" t="s">
        <v>196</v>
      </c>
      <c r="G78" s="17" t="s">
        <v>1295</v>
      </c>
      <c r="H78" s="17" t="s">
        <v>1296</v>
      </c>
      <c r="I78" s="17" t="s">
        <v>1297</v>
      </c>
      <c r="J78" s="17" t="s">
        <v>1298</v>
      </c>
      <c r="K78" s="17" t="s">
        <v>402</v>
      </c>
      <c r="L78" s="17" t="s">
        <v>1299</v>
      </c>
      <c r="M78" s="16" t="s">
        <v>495</v>
      </c>
      <c r="N78" s="16" t="s">
        <v>496</v>
      </c>
      <c r="O78" s="17" t="s">
        <v>268</v>
      </c>
      <c r="P78" s="17" t="s">
        <v>1300</v>
      </c>
      <c r="Q78" s="17" t="s">
        <v>1301</v>
      </c>
      <c r="R78" s="16" t="s">
        <v>499</v>
      </c>
      <c r="S78" s="16">
        <f>COUNTIF('Criterios GWT'!B:B,A78)</f>
        <v>3</v>
      </c>
    </row>
    <row r="79" spans="1:19" ht="81" hidden="1" customHeight="1" x14ac:dyDescent="0.25">
      <c r="A79" s="18" t="s">
        <v>1302</v>
      </c>
      <c r="B79" s="19" t="s">
        <v>1283</v>
      </c>
      <c r="C79" s="19" t="s">
        <v>122</v>
      </c>
      <c r="D79" s="19" t="s">
        <v>1303</v>
      </c>
      <c r="E79" s="19" t="s">
        <v>1304</v>
      </c>
      <c r="F79" s="19" t="s">
        <v>1305</v>
      </c>
      <c r="G79" s="19" t="s">
        <v>1306</v>
      </c>
      <c r="H79" s="19" t="s">
        <v>1307</v>
      </c>
      <c r="I79" s="19" t="s">
        <v>1308</v>
      </c>
      <c r="J79" s="19" t="s">
        <v>1309</v>
      </c>
      <c r="K79" s="19" t="s">
        <v>402</v>
      </c>
      <c r="L79" s="19" t="s">
        <v>1310</v>
      </c>
      <c r="M79" s="18" t="s">
        <v>495</v>
      </c>
      <c r="N79" s="18" t="s">
        <v>496</v>
      </c>
      <c r="O79" s="19" t="s">
        <v>268</v>
      </c>
      <c r="P79" s="19" t="s">
        <v>1291</v>
      </c>
      <c r="Q79" s="19" t="s">
        <v>1311</v>
      </c>
      <c r="R79" s="18" t="s">
        <v>499</v>
      </c>
      <c r="S79" s="18">
        <f>COUNTIF('Criterios GWT'!B:B,A79)</f>
        <v>3</v>
      </c>
    </row>
    <row r="80" spans="1:19" ht="67.5" hidden="1" customHeight="1" x14ac:dyDescent="0.25">
      <c r="A80" s="16" t="s">
        <v>1312</v>
      </c>
      <c r="B80" s="17" t="s">
        <v>1283</v>
      </c>
      <c r="C80" s="17" t="s">
        <v>162</v>
      </c>
      <c r="D80" s="17" t="s">
        <v>1313</v>
      </c>
      <c r="E80" s="17" t="s">
        <v>1314</v>
      </c>
      <c r="F80" s="17" t="s">
        <v>186</v>
      </c>
      <c r="G80" s="17" t="s">
        <v>1315</v>
      </c>
      <c r="H80" s="17" t="s">
        <v>1316</v>
      </c>
      <c r="I80" s="17" t="s">
        <v>1317</v>
      </c>
      <c r="J80" s="17" t="s">
        <v>1318</v>
      </c>
      <c r="K80" s="17" t="s">
        <v>1319</v>
      </c>
      <c r="L80" s="17" t="s">
        <v>1320</v>
      </c>
      <c r="M80" s="16" t="s">
        <v>495</v>
      </c>
      <c r="N80" s="16" t="s">
        <v>496</v>
      </c>
      <c r="O80" s="17" t="s">
        <v>1321</v>
      </c>
      <c r="P80" s="17" t="s">
        <v>1322</v>
      </c>
      <c r="Q80" s="17" t="s">
        <v>1038</v>
      </c>
      <c r="R80" s="16" t="s">
        <v>499</v>
      </c>
      <c r="S80" s="16">
        <f>COUNTIF('Criterios GWT'!B:B,A80)</f>
        <v>2</v>
      </c>
    </row>
    <row r="81" spans="1:19" ht="81" hidden="1" customHeight="1" x14ac:dyDescent="0.25">
      <c r="A81" s="18" t="s">
        <v>1323</v>
      </c>
      <c r="B81" s="19" t="s">
        <v>1283</v>
      </c>
      <c r="C81" s="19" t="s">
        <v>122</v>
      </c>
      <c r="D81" s="19" t="s">
        <v>1324</v>
      </c>
      <c r="E81" s="19" t="s">
        <v>1325</v>
      </c>
      <c r="F81" s="19" t="s">
        <v>1326</v>
      </c>
      <c r="G81" s="19" t="s">
        <v>1327</v>
      </c>
      <c r="H81" s="19" t="s">
        <v>1328</v>
      </c>
      <c r="I81" s="19" t="s">
        <v>1329</v>
      </c>
      <c r="J81" s="19" t="s">
        <v>1330</v>
      </c>
      <c r="K81" s="19" t="s">
        <v>405</v>
      </c>
      <c r="L81" s="19" t="s">
        <v>1331</v>
      </c>
      <c r="M81" s="18" t="s">
        <v>619</v>
      </c>
      <c r="N81" s="18" t="s">
        <v>496</v>
      </c>
      <c r="O81" s="19" t="s">
        <v>268</v>
      </c>
      <c r="P81" s="19" t="s">
        <v>1291</v>
      </c>
      <c r="Q81" s="19" t="s">
        <v>1332</v>
      </c>
      <c r="R81" s="18" t="s">
        <v>499</v>
      </c>
      <c r="S81" s="18">
        <f>COUNTIF('Criterios GWT'!B:B,A81)</f>
        <v>2</v>
      </c>
    </row>
    <row r="82" spans="1:19" ht="94.5" hidden="1" customHeight="1" x14ac:dyDescent="0.25">
      <c r="A82" s="16" t="s">
        <v>1333</v>
      </c>
      <c r="B82" s="17" t="s">
        <v>1283</v>
      </c>
      <c r="C82" s="17" t="s">
        <v>122</v>
      </c>
      <c r="D82" s="17" t="s">
        <v>1334</v>
      </c>
      <c r="E82" s="17" t="s">
        <v>1335</v>
      </c>
      <c r="F82" s="17" t="s">
        <v>1336</v>
      </c>
      <c r="G82" s="17" t="s">
        <v>1337</v>
      </c>
      <c r="H82" s="17" t="s">
        <v>1338</v>
      </c>
      <c r="I82" s="17" t="s">
        <v>1339</v>
      </c>
      <c r="J82" s="17" t="s">
        <v>1340</v>
      </c>
      <c r="K82" s="17" t="s">
        <v>402</v>
      </c>
      <c r="L82" s="17" t="s">
        <v>1341</v>
      </c>
      <c r="M82" s="16" t="s">
        <v>495</v>
      </c>
      <c r="N82" s="16" t="s">
        <v>496</v>
      </c>
      <c r="O82" s="17" t="s">
        <v>268</v>
      </c>
      <c r="P82" s="17" t="s">
        <v>1342</v>
      </c>
      <c r="Q82" s="17" t="s">
        <v>1343</v>
      </c>
      <c r="R82" s="16" t="s">
        <v>499</v>
      </c>
      <c r="S82" s="16">
        <f>COUNTIF('Criterios GWT'!B:B,A82)</f>
        <v>2</v>
      </c>
    </row>
    <row r="83" spans="1:19" ht="94.5" hidden="1" customHeight="1" x14ac:dyDescent="0.25">
      <c r="A83" s="18" t="s">
        <v>1344</v>
      </c>
      <c r="B83" s="19" t="s">
        <v>1345</v>
      </c>
      <c r="C83" s="19" t="s">
        <v>122</v>
      </c>
      <c r="D83" s="19" t="s">
        <v>1346</v>
      </c>
      <c r="E83" s="19" t="s">
        <v>1347</v>
      </c>
      <c r="F83" s="19" t="s">
        <v>742</v>
      </c>
      <c r="G83" s="19" t="s">
        <v>1348</v>
      </c>
      <c r="H83" s="19" t="s">
        <v>1349</v>
      </c>
      <c r="I83" s="19" t="s">
        <v>1350</v>
      </c>
      <c r="J83" s="19" t="s">
        <v>1351</v>
      </c>
      <c r="K83" s="19" t="s">
        <v>1352</v>
      </c>
      <c r="L83" s="19" t="s">
        <v>1353</v>
      </c>
      <c r="M83" s="18" t="s">
        <v>495</v>
      </c>
      <c r="N83" s="18" t="s">
        <v>496</v>
      </c>
      <c r="O83" s="19" t="s">
        <v>1354</v>
      </c>
      <c r="P83" s="19" t="s">
        <v>1355</v>
      </c>
      <c r="Q83" s="19" t="s">
        <v>1356</v>
      </c>
      <c r="R83" s="18" t="s">
        <v>499</v>
      </c>
      <c r="S83" s="18">
        <f>COUNTIF('Criterios GWT'!B:B,A83)</f>
        <v>3</v>
      </c>
    </row>
    <row r="84" spans="1:19" ht="81" hidden="1" customHeight="1" x14ac:dyDescent="0.25">
      <c r="A84" s="16" t="s">
        <v>1357</v>
      </c>
      <c r="B84" s="17" t="s">
        <v>1345</v>
      </c>
      <c r="C84" s="17" t="s">
        <v>122</v>
      </c>
      <c r="D84" s="17" t="s">
        <v>1358</v>
      </c>
      <c r="E84" s="17" t="s">
        <v>1359</v>
      </c>
      <c r="F84" s="17" t="s">
        <v>742</v>
      </c>
      <c r="G84" s="17" t="s">
        <v>1360</v>
      </c>
      <c r="H84" s="17" t="s">
        <v>1361</v>
      </c>
      <c r="I84" s="17" t="s">
        <v>1362</v>
      </c>
      <c r="J84" s="17" t="s">
        <v>1363</v>
      </c>
      <c r="K84" s="17" t="s">
        <v>408</v>
      </c>
      <c r="L84" s="17" t="s">
        <v>1364</v>
      </c>
      <c r="M84" s="16" t="s">
        <v>619</v>
      </c>
      <c r="N84" s="16" t="s">
        <v>496</v>
      </c>
      <c r="O84" s="17" t="s">
        <v>303</v>
      </c>
      <c r="P84" s="17" t="s">
        <v>1365</v>
      </c>
      <c r="Q84" s="17" t="s">
        <v>1366</v>
      </c>
      <c r="R84" s="16" t="s">
        <v>499</v>
      </c>
      <c r="S84" s="16">
        <f>COUNTIF('Criterios GWT'!B:B,A84)</f>
        <v>2</v>
      </c>
    </row>
    <row r="85" spans="1:19" ht="81" hidden="1" customHeight="1" x14ac:dyDescent="0.25">
      <c r="A85" s="18" t="s">
        <v>1367</v>
      </c>
      <c r="B85" s="19" t="s">
        <v>1345</v>
      </c>
      <c r="C85" s="19" t="s">
        <v>122</v>
      </c>
      <c r="D85" s="19" t="s">
        <v>1368</v>
      </c>
      <c r="E85" s="19" t="s">
        <v>1369</v>
      </c>
      <c r="F85" s="19" t="s">
        <v>942</v>
      </c>
      <c r="G85" s="19" t="s">
        <v>1370</v>
      </c>
      <c r="H85" s="19" t="s">
        <v>1371</v>
      </c>
      <c r="I85" s="19" t="s">
        <v>1372</v>
      </c>
      <c r="J85" s="19" t="s">
        <v>1373</v>
      </c>
      <c r="K85" s="19" t="s">
        <v>1374</v>
      </c>
      <c r="L85" s="19" t="s">
        <v>1375</v>
      </c>
      <c r="M85" s="18" t="s">
        <v>495</v>
      </c>
      <c r="N85" s="18" t="s">
        <v>496</v>
      </c>
      <c r="O85" s="19" t="s">
        <v>303</v>
      </c>
      <c r="P85" s="19" t="s">
        <v>1376</v>
      </c>
      <c r="Q85" s="19" t="s">
        <v>1377</v>
      </c>
      <c r="R85" s="18" t="s">
        <v>499</v>
      </c>
      <c r="S85" s="18">
        <f>COUNTIF('Criterios GWT'!B:B,A85)</f>
        <v>3</v>
      </c>
    </row>
    <row r="86" spans="1:19" ht="94.5" hidden="1" customHeight="1" x14ac:dyDescent="0.25">
      <c r="A86" s="16" t="s">
        <v>1378</v>
      </c>
      <c r="B86" s="17" t="s">
        <v>1345</v>
      </c>
      <c r="C86" s="17" t="s">
        <v>105</v>
      </c>
      <c r="D86" s="17" t="s">
        <v>1379</v>
      </c>
      <c r="E86" s="17" t="s">
        <v>1380</v>
      </c>
      <c r="F86" s="17" t="s">
        <v>989</v>
      </c>
      <c r="G86" s="17" t="s">
        <v>1381</v>
      </c>
      <c r="H86" s="17" t="s">
        <v>1382</v>
      </c>
      <c r="I86" s="17" t="s">
        <v>1383</v>
      </c>
      <c r="J86" s="17" t="s">
        <v>1384</v>
      </c>
      <c r="K86" s="17" t="s">
        <v>1385</v>
      </c>
      <c r="L86" s="17" t="s">
        <v>1386</v>
      </c>
      <c r="M86" s="16" t="s">
        <v>619</v>
      </c>
      <c r="N86" s="16" t="s">
        <v>678</v>
      </c>
      <c r="O86" s="17" t="s">
        <v>1387</v>
      </c>
      <c r="P86" s="17" t="s">
        <v>1365</v>
      </c>
      <c r="Q86" s="17" t="s">
        <v>1388</v>
      </c>
      <c r="R86" s="16" t="s">
        <v>499</v>
      </c>
      <c r="S86" s="16">
        <f>COUNTIF('Criterios GWT'!B:B,A86)</f>
        <v>2</v>
      </c>
    </row>
    <row r="87" spans="1:19" ht="94.5" hidden="1" customHeight="1" x14ac:dyDescent="0.25">
      <c r="A87" s="18" t="s">
        <v>1389</v>
      </c>
      <c r="B87" s="19" t="s">
        <v>1390</v>
      </c>
      <c r="C87" s="19" t="s">
        <v>122</v>
      </c>
      <c r="D87" s="19" t="s">
        <v>1391</v>
      </c>
      <c r="E87" s="19" t="s">
        <v>1392</v>
      </c>
      <c r="F87" s="19" t="s">
        <v>196</v>
      </c>
      <c r="G87" s="19" t="s">
        <v>1393</v>
      </c>
      <c r="H87" s="19" t="s">
        <v>1394</v>
      </c>
      <c r="I87" s="19" t="s">
        <v>1395</v>
      </c>
      <c r="J87" s="19" t="s">
        <v>1396</v>
      </c>
      <c r="K87" s="19" t="s">
        <v>411</v>
      </c>
      <c r="L87" s="19" t="s">
        <v>1397</v>
      </c>
      <c r="M87" s="18" t="s">
        <v>495</v>
      </c>
      <c r="N87" s="18" t="s">
        <v>496</v>
      </c>
      <c r="O87" s="19" t="s">
        <v>303</v>
      </c>
      <c r="P87" s="19" t="s">
        <v>1398</v>
      </c>
      <c r="Q87" s="19" t="s">
        <v>1399</v>
      </c>
      <c r="R87" s="18" t="s">
        <v>499</v>
      </c>
      <c r="S87" s="18">
        <f>COUNTIF('Criterios GWT'!B:B,A87)</f>
        <v>2</v>
      </c>
    </row>
    <row r="88" spans="1:19" ht="67.5" hidden="1" customHeight="1" x14ac:dyDescent="0.25">
      <c r="A88" s="16" t="s">
        <v>1400</v>
      </c>
      <c r="B88" s="17" t="s">
        <v>1390</v>
      </c>
      <c r="C88" s="17" t="s">
        <v>122</v>
      </c>
      <c r="D88" s="17" t="s">
        <v>1401</v>
      </c>
      <c r="E88" s="17" t="s">
        <v>1402</v>
      </c>
      <c r="F88" s="17" t="s">
        <v>196</v>
      </c>
      <c r="G88" s="17" t="s">
        <v>1403</v>
      </c>
      <c r="H88" s="17" t="s">
        <v>1404</v>
      </c>
      <c r="I88" s="17" t="s">
        <v>1405</v>
      </c>
      <c r="J88" s="17" t="s">
        <v>1406</v>
      </c>
      <c r="K88" s="17" t="s">
        <v>1407</v>
      </c>
      <c r="L88" s="17" t="s">
        <v>1408</v>
      </c>
      <c r="M88" s="16" t="s">
        <v>495</v>
      </c>
      <c r="N88" s="16" t="s">
        <v>496</v>
      </c>
      <c r="O88" s="17" t="s">
        <v>303</v>
      </c>
      <c r="P88" s="17" t="s">
        <v>1398</v>
      </c>
      <c r="Q88" s="17" t="s">
        <v>1027</v>
      </c>
      <c r="R88" s="16" t="s">
        <v>499</v>
      </c>
      <c r="S88" s="16">
        <f>COUNTIF('Criterios GWT'!B:B,A88)</f>
        <v>2</v>
      </c>
    </row>
    <row r="89" spans="1:19" ht="81" hidden="1" customHeight="1" x14ac:dyDescent="0.25">
      <c r="A89" s="18" t="s">
        <v>1409</v>
      </c>
      <c r="B89" s="19" t="s">
        <v>1390</v>
      </c>
      <c r="C89" s="19" t="s">
        <v>109</v>
      </c>
      <c r="D89" s="19" t="s">
        <v>1410</v>
      </c>
      <c r="E89" s="19" t="s">
        <v>1411</v>
      </c>
      <c r="F89" s="19" t="s">
        <v>683</v>
      </c>
      <c r="G89" s="19" t="s">
        <v>1412</v>
      </c>
      <c r="H89" s="19" t="s">
        <v>1413</v>
      </c>
      <c r="I89" s="19" t="s">
        <v>1414</v>
      </c>
      <c r="J89" s="19" t="s">
        <v>1415</v>
      </c>
      <c r="K89" s="19" t="s">
        <v>1385</v>
      </c>
      <c r="L89" s="19" t="s">
        <v>1416</v>
      </c>
      <c r="M89" s="18" t="s">
        <v>495</v>
      </c>
      <c r="N89" s="18" t="s">
        <v>496</v>
      </c>
      <c r="O89" s="19" t="s">
        <v>303</v>
      </c>
      <c r="P89" s="19" t="s">
        <v>1417</v>
      </c>
      <c r="Q89" s="19" t="s">
        <v>691</v>
      </c>
      <c r="R89" s="18" t="s">
        <v>499</v>
      </c>
      <c r="S89" s="18">
        <f>COUNTIF('Criterios GWT'!B:B,A89)</f>
        <v>2</v>
      </c>
    </row>
    <row r="90" spans="1:19" ht="81" hidden="1" customHeight="1" x14ac:dyDescent="0.25">
      <c r="A90" s="16" t="s">
        <v>1418</v>
      </c>
      <c r="B90" s="17" t="s">
        <v>1390</v>
      </c>
      <c r="C90" s="17" t="s">
        <v>105</v>
      </c>
      <c r="D90" s="17" t="s">
        <v>1419</v>
      </c>
      <c r="E90" s="17" t="s">
        <v>1420</v>
      </c>
      <c r="F90" s="17" t="s">
        <v>570</v>
      </c>
      <c r="G90" s="17" t="s">
        <v>1421</v>
      </c>
      <c r="H90" s="17" t="s">
        <v>1422</v>
      </c>
      <c r="I90" s="17" t="s">
        <v>1423</v>
      </c>
      <c r="J90" s="17" t="s">
        <v>1424</v>
      </c>
      <c r="K90" s="17" t="s">
        <v>1425</v>
      </c>
      <c r="L90" s="17" t="s">
        <v>1426</v>
      </c>
      <c r="M90" s="16" t="s">
        <v>619</v>
      </c>
      <c r="N90" s="16" t="s">
        <v>678</v>
      </c>
      <c r="O90" s="17" t="s">
        <v>1427</v>
      </c>
      <c r="P90" s="17" t="s">
        <v>1428</v>
      </c>
      <c r="Q90" s="17" t="s">
        <v>1429</v>
      </c>
      <c r="R90" s="16" t="s">
        <v>499</v>
      </c>
      <c r="S90" s="16">
        <f>COUNTIF('Criterios GWT'!B:B,A90)</f>
        <v>2</v>
      </c>
    </row>
    <row r="91" spans="1:19" ht="94.5" hidden="1" customHeight="1" x14ac:dyDescent="0.25">
      <c r="A91" s="18" t="s">
        <v>1430</v>
      </c>
      <c r="B91" s="19" t="s">
        <v>1390</v>
      </c>
      <c r="C91" s="19" t="s">
        <v>162</v>
      </c>
      <c r="D91" s="19" t="s">
        <v>1431</v>
      </c>
      <c r="E91" s="19" t="s">
        <v>1432</v>
      </c>
      <c r="F91" s="19" t="s">
        <v>1433</v>
      </c>
      <c r="G91" s="19" t="s">
        <v>1434</v>
      </c>
      <c r="H91" s="19" t="s">
        <v>1435</v>
      </c>
      <c r="I91" s="19" t="s">
        <v>1436</v>
      </c>
      <c r="J91" s="19" t="s">
        <v>1437</v>
      </c>
      <c r="K91" s="19" t="s">
        <v>1438</v>
      </c>
      <c r="L91" s="19" t="s">
        <v>1439</v>
      </c>
      <c r="M91" s="18" t="s">
        <v>495</v>
      </c>
      <c r="N91" s="18" t="s">
        <v>496</v>
      </c>
      <c r="O91" s="19" t="s">
        <v>303</v>
      </c>
      <c r="P91" s="19" t="s">
        <v>1440</v>
      </c>
      <c r="Q91" s="19" t="s">
        <v>1441</v>
      </c>
      <c r="R91" s="18" t="s">
        <v>499</v>
      </c>
      <c r="S91" s="18">
        <f>COUNTIF('Criterios GWT'!B:B,A91)</f>
        <v>2</v>
      </c>
    </row>
    <row r="92" spans="1:19" ht="94.5" hidden="1" customHeight="1" x14ac:dyDescent="0.25">
      <c r="A92" s="16" t="s">
        <v>1442</v>
      </c>
      <c r="B92" s="17" t="s">
        <v>1390</v>
      </c>
      <c r="C92" s="17" t="s">
        <v>109</v>
      </c>
      <c r="D92" s="17" t="s">
        <v>1443</v>
      </c>
      <c r="E92" s="17" t="s">
        <v>1444</v>
      </c>
      <c r="F92" s="17" t="s">
        <v>227</v>
      </c>
      <c r="G92" s="17" t="s">
        <v>1445</v>
      </c>
      <c r="H92" s="17" t="s">
        <v>1446</v>
      </c>
      <c r="I92" s="17" t="s">
        <v>1447</v>
      </c>
      <c r="J92" s="17" t="s">
        <v>1448</v>
      </c>
      <c r="K92" s="17" t="s">
        <v>414</v>
      </c>
      <c r="L92" s="17" t="s">
        <v>1449</v>
      </c>
      <c r="M92" s="16" t="s">
        <v>495</v>
      </c>
      <c r="N92" s="16" t="s">
        <v>496</v>
      </c>
      <c r="O92" s="17" t="s">
        <v>303</v>
      </c>
      <c r="P92" s="17" t="s">
        <v>1450</v>
      </c>
      <c r="Q92" s="17" t="s">
        <v>1441</v>
      </c>
      <c r="R92" s="16" t="s">
        <v>499</v>
      </c>
      <c r="S92" s="16">
        <f>COUNTIF('Criterios GWT'!B:B,A92)</f>
        <v>2</v>
      </c>
    </row>
    <row r="93" spans="1:19" ht="81" hidden="1" customHeight="1" x14ac:dyDescent="0.25">
      <c r="A93" s="18" t="s">
        <v>1451</v>
      </c>
      <c r="B93" s="19" t="s">
        <v>1390</v>
      </c>
      <c r="C93" s="19" t="s">
        <v>109</v>
      </c>
      <c r="D93" s="19" t="s">
        <v>1452</v>
      </c>
      <c r="E93" s="19" t="s">
        <v>1453</v>
      </c>
      <c r="F93" s="19" t="s">
        <v>227</v>
      </c>
      <c r="G93" s="19" t="s">
        <v>1454</v>
      </c>
      <c r="H93" s="19" t="s">
        <v>1455</v>
      </c>
      <c r="I93" s="19" t="s">
        <v>1456</v>
      </c>
      <c r="J93" s="19" t="s">
        <v>1457</v>
      </c>
      <c r="K93" s="19" t="s">
        <v>1458</v>
      </c>
      <c r="L93" s="19" t="s">
        <v>1459</v>
      </c>
      <c r="M93" s="18" t="s">
        <v>495</v>
      </c>
      <c r="N93" s="18" t="s">
        <v>678</v>
      </c>
      <c r="O93" s="19" t="s">
        <v>303</v>
      </c>
      <c r="P93" s="19" t="s">
        <v>1460</v>
      </c>
      <c r="Q93" s="19" t="s">
        <v>1461</v>
      </c>
      <c r="R93" s="18" t="s">
        <v>499</v>
      </c>
      <c r="S93" s="18">
        <f>COUNTIF('Criterios GWT'!B:B,A93)</f>
        <v>2</v>
      </c>
    </row>
    <row r="94" spans="1:19" ht="108" hidden="1" customHeight="1" x14ac:dyDescent="0.25">
      <c r="A94" s="16" t="s">
        <v>1462</v>
      </c>
      <c r="B94" s="17" t="s">
        <v>1390</v>
      </c>
      <c r="C94" s="17" t="s">
        <v>105</v>
      </c>
      <c r="D94" s="17" t="s">
        <v>1463</v>
      </c>
      <c r="E94" s="17" t="s">
        <v>1464</v>
      </c>
      <c r="F94" s="17" t="s">
        <v>1465</v>
      </c>
      <c r="G94" s="17" t="s">
        <v>1466</v>
      </c>
      <c r="H94" s="17" t="s">
        <v>1467</v>
      </c>
      <c r="I94" s="17" t="s">
        <v>1468</v>
      </c>
      <c r="J94" s="17" t="s">
        <v>1469</v>
      </c>
      <c r="K94" s="17" t="s">
        <v>471</v>
      </c>
      <c r="L94" s="17" t="s">
        <v>1470</v>
      </c>
      <c r="M94" s="16" t="s">
        <v>495</v>
      </c>
      <c r="N94" s="16" t="s">
        <v>496</v>
      </c>
      <c r="O94" s="17" t="s">
        <v>303</v>
      </c>
      <c r="P94" s="17" t="s">
        <v>1471</v>
      </c>
      <c r="Q94" s="17" t="s">
        <v>951</v>
      </c>
      <c r="R94" s="16" t="s">
        <v>499</v>
      </c>
      <c r="S94" s="16">
        <f>COUNTIF('Criterios GWT'!B:B,A94)</f>
        <v>2</v>
      </c>
    </row>
    <row r="95" spans="1:19" ht="94.5" hidden="1" customHeight="1" x14ac:dyDescent="0.25">
      <c r="A95" s="18" t="s">
        <v>1472</v>
      </c>
      <c r="B95" s="19" t="s">
        <v>1473</v>
      </c>
      <c r="C95" s="19" t="s">
        <v>122</v>
      </c>
      <c r="D95" s="19" t="s">
        <v>1474</v>
      </c>
      <c r="E95" s="19" t="s">
        <v>1475</v>
      </c>
      <c r="F95" s="19" t="s">
        <v>196</v>
      </c>
      <c r="G95" s="19" t="s">
        <v>1476</v>
      </c>
      <c r="H95" s="19" t="s">
        <v>1477</v>
      </c>
      <c r="I95" s="19" t="s">
        <v>1478</v>
      </c>
      <c r="J95" s="19" t="s">
        <v>1479</v>
      </c>
      <c r="K95" s="19" t="s">
        <v>429</v>
      </c>
      <c r="L95" s="19" t="s">
        <v>1480</v>
      </c>
      <c r="M95" s="18" t="s">
        <v>495</v>
      </c>
      <c r="N95" s="18" t="s">
        <v>496</v>
      </c>
      <c r="O95" s="19" t="s">
        <v>310</v>
      </c>
      <c r="P95" s="19" t="s">
        <v>1481</v>
      </c>
      <c r="Q95" s="19" t="s">
        <v>1482</v>
      </c>
      <c r="R95" s="18" t="s">
        <v>499</v>
      </c>
      <c r="S95" s="18">
        <f>COUNTIF('Criterios GWT'!B:B,A95)</f>
        <v>3</v>
      </c>
    </row>
    <row r="96" spans="1:19" ht="81" hidden="1" customHeight="1" x14ac:dyDescent="0.25">
      <c r="A96" s="16" t="s">
        <v>1483</v>
      </c>
      <c r="B96" s="17" t="s">
        <v>1473</v>
      </c>
      <c r="C96" s="17" t="s">
        <v>122</v>
      </c>
      <c r="D96" s="17" t="s">
        <v>1484</v>
      </c>
      <c r="E96" s="17" t="s">
        <v>1485</v>
      </c>
      <c r="F96" s="17" t="s">
        <v>1486</v>
      </c>
      <c r="G96" s="17" t="s">
        <v>558</v>
      </c>
      <c r="H96" s="17" t="s">
        <v>1487</v>
      </c>
      <c r="I96" s="17" t="s">
        <v>1488</v>
      </c>
      <c r="J96" s="17" t="s">
        <v>1489</v>
      </c>
      <c r="K96" s="17" t="s">
        <v>1490</v>
      </c>
      <c r="L96" s="17" t="s">
        <v>1491</v>
      </c>
      <c r="M96" s="16" t="s">
        <v>495</v>
      </c>
      <c r="N96" s="16" t="s">
        <v>496</v>
      </c>
      <c r="O96" s="17" t="s">
        <v>1492</v>
      </c>
      <c r="P96" s="17" t="s">
        <v>1493</v>
      </c>
      <c r="Q96" s="17" t="s">
        <v>1494</v>
      </c>
      <c r="R96" s="16" t="s">
        <v>499</v>
      </c>
      <c r="S96" s="16">
        <f>COUNTIF('Criterios GWT'!B:B,A96)</f>
        <v>3</v>
      </c>
    </row>
    <row r="97" spans="1:19" ht="94.5" hidden="1" customHeight="1" x14ac:dyDescent="0.25">
      <c r="A97" s="18" t="s">
        <v>1495</v>
      </c>
      <c r="B97" s="19" t="s">
        <v>1473</v>
      </c>
      <c r="C97" s="19" t="s">
        <v>105</v>
      </c>
      <c r="D97" s="19" t="s">
        <v>1496</v>
      </c>
      <c r="E97" s="19" t="s">
        <v>1497</v>
      </c>
      <c r="F97" s="19" t="s">
        <v>1273</v>
      </c>
      <c r="G97" s="19" t="s">
        <v>1498</v>
      </c>
      <c r="H97" s="19" t="s">
        <v>1499</v>
      </c>
      <c r="I97" s="19" t="s">
        <v>1500</v>
      </c>
      <c r="J97" s="19" t="s">
        <v>1501</v>
      </c>
      <c r="K97" s="19" t="s">
        <v>429</v>
      </c>
      <c r="L97" s="19" t="s">
        <v>1502</v>
      </c>
      <c r="M97" s="18" t="s">
        <v>619</v>
      </c>
      <c r="N97" s="18" t="s">
        <v>496</v>
      </c>
      <c r="O97" s="19" t="s">
        <v>310</v>
      </c>
      <c r="P97" s="19" t="s">
        <v>1503</v>
      </c>
      <c r="Q97" s="19" t="s">
        <v>1504</v>
      </c>
      <c r="R97" s="18" t="s">
        <v>499</v>
      </c>
      <c r="S97" s="18">
        <f>COUNTIF('Criterios GWT'!B:B,A97)</f>
        <v>2</v>
      </c>
    </row>
    <row r="98" spans="1:19" ht="94.5" hidden="1" customHeight="1" x14ac:dyDescent="0.25">
      <c r="A98" s="16" t="s">
        <v>1505</v>
      </c>
      <c r="B98" s="17" t="s">
        <v>1473</v>
      </c>
      <c r="C98" s="17" t="s">
        <v>105</v>
      </c>
      <c r="D98" s="17" t="s">
        <v>1506</v>
      </c>
      <c r="E98" s="17" t="s">
        <v>1507</v>
      </c>
      <c r="F98" s="17" t="s">
        <v>1508</v>
      </c>
      <c r="G98" s="17" t="s">
        <v>1509</v>
      </c>
      <c r="H98" s="17" t="s">
        <v>1510</v>
      </c>
      <c r="I98" s="17" t="s">
        <v>1511</v>
      </c>
      <c r="J98" s="17" t="s">
        <v>1512</v>
      </c>
      <c r="K98" s="17" t="s">
        <v>429</v>
      </c>
      <c r="L98" s="17" t="s">
        <v>1513</v>
      </c>
      <c r="M98" s="16" t="s">
        <v>495</v>
      </c>
      <c r="N98" s="16" t="s">
        <v>496</v>
      </c>
      <c r="O98" s="17" t="s">
        <v>1492</v>
      </c>
      <c r="P98" s="17" t="s">
        <v>1514</v>
      </c>
      <c r="Q98" s="17" t="s">
        <v>1515</v>
      </c>
      <c r="R98" s="16" t="s">
        <v>499</v>
      </c>
      <c r="S98" s="16">
        <f>COUNTIF('Criterios GWT'!B:B,A98)</f>
        <v>2</v>
      </c>
    </row>
    <row r="99" spans="1:19" ht="67.5" hidden="1" customHeight="1" x14ac:dyDescent="0.25">
      <c r="A99" s="18" t="s">
        <v>1516</v>
      </c>
      <c r="B99" s="19" t="s">
        <v>1517</v>
      </c>
      <c r="C99" s="19" t="s">
        <v>122</v>
      </c>
      <c r="D99" s="19" t="s">
        <v>1518</v>
      </c>
      <c r="E99" s="19" t="s">
        <v>1519</v>
      </c>
      <c r="F99" s="19" t="s">
        <v>218</v>
      </c>
      <c r="G99" s="19" t="s">
        <v>1520</v>
      </c>
      <c r="H99" s="19" t="s">
        <v>805</v>
      </c>
      <c r="I99" s="19" t="s">
        <v>1521</v>
      </c>
      <c r="J99" s="19" t="s">
        <v>1522</v>
      </c>
      <c r="K99" s="19" t="s">
        <v>1523</v>
      </c>
      <c r="L99" s="19" t="s">
        <v>1524</v>
      </c>
      <c r="M99" s="18" t="s">
        <v>495</v>
      </c>
      <c r="N99" s="18" t="s">
        <v>496</v>
      </c>
      <c r="O99" s="19" t="s">
        <v>317</v>
      </c>
      <c r="P99" s="19" t="s">
        <v>1525</v>
      </c>
      <c r="Q99" s="19" t="s">
        <v>1526</v>
      </c>
      <c r="R99" s="18" t="s">
        <v>499</v>
      </c>
      <c r="S99" s="18">
        <f>COUNTIF('Criterios GWT'!B:B,A99)</f>
        <v>2</v>
      </c>
    </row>
    <row r="100" spans="1:19" ht="81" hidden="1" customHeight="1" x14ac:dyDescent="0.25">
      <c r="A100" s="16" t="s">
        <v>1527</v>
      </c>
      <c r="B100" s="17" t="s">
        <v>1517</v>
      </c>
      <c r="C100" s="17" t="s">
        <v>109</v>
      </c>
      <c r="D100" s="17" t="s">
        <v>1528</v>
      </c>
      <c r="E100" s="17" t="s">
        <v>1529</v>
      </c>
      <c r="F100" s="17" t="s">
        <v>1530</v>
      </c>
      <c r="G100" s="17" t="s">
        <v>1531</v>
      </c>
      <c r="H100" s="17" t="s">
        <v>1532</v>
      </c>
      <c r="I100" s="17" t="s">
        <v>1533</v>
      </c>
      <c r="J100" s="17" t="s">
        <v>1534</v>
      </c>
      <c r="K100" s="17" t="s">
        <v>1523</v>
      </c>
      <c r="L100" s="17" t="s">
        <v>1535</v>
      </c>
      <c r="M100" s="16" t="s">
        <v>495</v>
      </c>
      <c r="N100" s="16" t="s">
        <v>496</v>
      </c>
      <c r="O100" s="17" t="s">
        <v>317</v>
      </c>
      <c r="P100" s="17" t="s">
        <v>1536</v>
      </c>
      <c r="Q100" s="17" t="s">
        <v>1537</v>
      </c>
      <c r="R100" s="16" t="s">
        <v>499</v>
      </c>
      <c r="S100" s="16">
        <f>COUNTIF('Criterios GWT'!B:B,A100)</f>
        <v>3</v>
      </c>
    </row>
    <row r="101" spans="1:19" ht="94.5" hidden="1" customHeight="1" x14ac:dyDescent="0.25">
      <c r="A101" s="18" t="s">
        <v>1538</v>
      </c>
      <c r="B101" s="19" t="s">
        <v>1517</v>
      </c>
      <c r="C101" s="19" t="s">
        <v>109</v>
      </c>
      <c r="D101" s="19" t="s">
        <v>1539</v>
      </c>
      <c r="E101" s="19" t="s">
        <v>1540</v>
      </c>
      <c r="F101" s="19" t="s">
        <v>180</v>
      </c>
      <c r="G101" s="19" t="s">
        <v>1541</v>
      </c>
      <c r="H101" s="19" t="s">
        <v>1542</v>
      </c>
      <c r="I101" s="19" t="s">
        <v>1543</v>
      </c>
      <c r="J101" s="19" t="s">
        <v>1544</v>
      </c>
      <c r="K101" s="19" t="s">
        <v>1523</v>
      </c>
      <c r="L101" s="19" t="s">
        <v>1545</v>
      </c>
      <c r="M101" s="18" t="s">
        <v>619</v>
      </c>
      <c r="N101" s="18" t="s">
        <v>678</v>
      </c>
      <c r="O101" s="19" t="s">
        <v>1546</v>
      </c>
      <c r="P101" s="19" t="s">
        <v>1547</v>
      </c>
      <c r="Q101" s="19" t="s">
        <v>1548</v>
      </c>
      <c r="R101" s="18" t="s">
        <v>499</v>
      </c>
      <c r="S101" s="18">
        <f>COUNTIF('Criterios GWT'!B:B,A101)</f>
        <v>2</v>
      </c>
    </row>
    <row r="102" spans="1:19" ht="81" hidden="1" customHeight="1" x14ac:dyDescent="0.25">
      <c r="A102" s="16" t="s">
        <v>1549</v>
      </c>
      <c r="B102" s="17" t="s">
        <v>1517</v>
      </c>
      <c r="C102" s="17" t="s">
        <v>109</v>
      </c>
      <c r="D102" s="17" t="s">
        <v>1550</v>
      </c>
      <c r="E102" s="17" t="s">
        <v>1551</v>
      </c>
      <c r="F102" s="17" t="s">
        <v>672</v>
      </c>
      <c r="G102" s="17" t="s">
        <v>1552</v>
      </c>
      <c r="H102" s="17" t="s">
        <v>1553</v>
      </c>
      <c r="I102" s="17" t="s">
        <v>1554</v>
      </c>
      <c r="J102" s="17" t="s">
        <v>1555</v>
      </c>
      <c r="K102" s="17" t="s">
        <v>346</v>
      </c>
      <c r="L102" s="17" t="s">
        <v>1556</v>
      </c>
      <c r="M102" s="16" t="s">
        <v>619</v>
      </c>
      <c r="N102" s="16" t="s">
        <v>496</v>
      </c>
      <c r="O102" s="17" t="s">
        <v>317</v>
      </c>
      <c r="P102" s="17" t="s">
        <v>1557</v>
      </c>
      <c r="Q102" s="17" t="s">
        <v>1558</v>
      </c>
      <c r="R102" s="16" t="s">
        <v>499</v>
      </c>
      <c r="S102" s="16">
        <f>COUNTIF('Criterios GWT'!B:B,A102)</f>
        <v>2</v>
      </c>
    </row>
    <row r="103" spans="1:19" ht="108" hidden="1" customHeight="1" x14ac:dyDescent="0.25">
      <c r="A103" s="18" t="s">
        <v>1559</v>
      </c>
      <c r="B103" s="19" t="s">
        <v>1560</v>
      </c>
      <c r="C103" s="19" t="s">
        <v>122</v>
      </c>
      <c r="D103" s="19" t="s">
        <v>1561</v>
      </c>
      <c r="E103" s="19" t="s">
        <v>1562</v>
      </c>
      <c r="F103" s="19" t="s">
        <v>1563</v>
      </c>
      <c r="G103" s="19" t="s">
        <v>1564</v>
      </c>
      <c r="H103" s="19" t="s">
        <v>1565</v>
      </c>
      <c r="I103" s="19" t="s">
        <v>1566</v>
      </c>
      <c r="J103" s="19" t="s">
        <v>1567</v>
      </c>
      <c r="K103" s="19" t="s">
        <v>450</v>
      </c>
      <c r="L103" s="19" t="s">
        <v>1568</v>
      </c>
      <c r="M103" s="18" t="s">
        <v>495</v>
      </c>
      <c r="N103" s="18" t="s">
        <v>496</v>
      </c>
      <c r="O103" s="19" t="s">
        <v>1569</v>
      </c>
      <c r="P103" s="19" t="s">
        <v>1570</v>
      </c>
      <c r="Q103" s="19" t="s">
        <v>1571</v>
      </c>
      <c r="R103" s="18" t="s">
        <v>1572</v>
      </c>
      <c r="S103" s="18">
        <f>COUNTIF('Criterios GWT'!B:B,A103)</f>
        <v>3</v>
      </c>
    </row>
    <row r="104" spans="1:19" ht="81" hidden="1" customHeight="1" x14ac:dyDescent="0.25">
      <c r="A104" s="16" t="s">
        <v>1573</v>
      </c>
      <c r="B104" s="17" t="s">
        <v>1560</v>
      </c>
      <c r="C104" s="17" t="s">
        <v>122</v>
      </c>
      <c r="D104" s="17" t="s">
        <v>1574</v>
      </c>
      <c r="E104" s="17" t="s">
        <v>1575</v>
      </c>
      <c r="F104" s="17" t="s">
        <v>196</v>
      </c>
      <c r="G104" s="17" t="s">
        <v>1564</v>
      </c>
      <c r="H104" s="17" t="s">
        <v>1576</v>
      </c>
      <c r="I104" s="17" t="s">
        <v>1577</v>
      </c>
      <c r="J104" s="17" t="s">
        <v>1578</v>
      </c>
      <c r="K104" s="17" t="s">
        <v>1579</v>
      </c>
      <c r="L104" s="17" t="s">
        <v>1580</v>
      </c>
      <c r="M104" s="16" t="s">
        <v>495</v>
      </c>
      <c r="N104" s="16" t="s">
        <v>496</v>
      </c>
      <c r="O104" s="17" t="s">
        <v>1581</v>
      </c>
      <c r="P104" s="17" t="s">
        <v>1582</v>
      </c>
      <c r="Q104" s="17" t="s">
        <v>1583</v>
      </c>
      <c r="R104" s="16" t="s">
        <v>1572</v>
      </c>
      <c r="S104" s="16">
        <f>COUNTIF('Criterios GWT'!B:B,A104)</f>
        <v>2</v>
      </c>
    </row>
    <row r="105" spans="1:19" ht="108" hidden="1" customHeight="1" x14ac:dyDescent="0.25">
      <c r="A105" s="18" t="s">
        <v>1584</v>
      </c>
      <c r="B105" s="19" t="s">
        <v>1560</v>
      </c>
      <c r="C105" s="19" t="s">
        <v>122</v>
      </c>
      <c r="D105" s="19" t="s">
        <v>1585</v>
      </c>
      <c r="E105" s="19" t="s">
        <v>1586</v>
      </c>
      <c r="F105" s="19" t="s">
        <v>1587</v>
      </c>
      <c r="G105" s="19" t="s">
        <v>1588</v>
      </c>
      <c r="H105" s="19" t="s">
        <v>1589</v>
      </c>
      <c r="I105" s="19" t="s">
        <v>1590</v>
      </c>
      <c r="J105" s="19" t="s">
        <v>1591</v>
      </c>
      <c r="K105" s="19" t="s">
        <v>1592</v>
      </c>
      <c r="L105" s="19" t="s">
        <v>1593</v>
      </c>
      <c r="M105" s="18" t="s">
        <v>619</v>
      </c>
      <c r="N105" s="18" t="s">
        <v>678</v>
      </c>
      <c r="O105" s="19" t="s">
        <v>1594</v>
      </c>
      <c r="P105" s="19" t="s">
        <v>1595</v>
      </c>
      <c r="Q105" s="19" t="s">
        <v>1596</v>
      </c>
      <c r="R105" s="18" t="s">
        <v>1572</v>
      </c>
      <c r="S105" s="18">
        <f>COUNTIF('Criterios GWT'!B:B,A105)</f>
        <v>2</v>
      </c>
    </row>
    <row r="106" spans="1:19" ht="121.5" hidden="1" customHeight="1" x14ac:dyDescent="0.25">
      <c r="A106" s="16" t="s">
        <v>1597</v>
      </c>
      <c r="B106" s="17" t="s">
        <v>1560</v>
      </c>
      <c r="C106" s="17" t="s">
        <v>109</v>
      </c>
      <c r="D106" s="17" t="s">
        <v>1598</v>
      </c>
      <c r="E106" s="17" t="s">
        <v>1599</v>
      </c>
      <c r="F106" s="17" t="s">
        <v>1600</v>
      </c>
      <c r="G106" s="17" t="s">
        <v>1601</v>
      </c>
      <c r="H106" s="17" t="s">
        <v>1602</v>
      </c>
      <c r="I106" s="17" t="s">
        <v>1603</v>
      </c>
      <c r="J106" s="17" t="s">
        <v>1604</v>
      </c>
      <c r="K106" s="17" t="s">
        <v>1605</v>
      </c>
      <c r="L106" s="17" t="s">
        <v>1606</v>
      </c>
      <c r="M106" s="16" t="s">
        <v>619</v>
      </c>
      <c r="N106" s="16" t="s">
        <v>678</v>
      </c>
      <c r="O106" s="17" t="s">
        <v>1607</v>
      </c>
      <c r="P106" s="17" t="s">
        <v>1608</v>
      </c>
      <c r="Q106" s="17" t="s">
        <v>1609</v>
      </c>
      <c r="R106" s="16" t="s">
        <v>1572</v>
      </c>
      <c r="S106" s="16">
        <f>COUNTIF('Criterios GWT'!B:B,A106)</f>
        <v>3</v>
      </c>
    </row>
    <row r="107" spans="1:19" ht="67.5" hidden="1" customHeight="1" x14ac:dyDescent="0.25">
      <c r="A107" s="18" t="s">
        <v>1610</v>
      </c>
      <c r="B107" s="19" t="s">
        <v>1560</v>
      </c>
      <c r="C107" s="19" t="s">
        <v>105</v>
      </c>
      <c r="D107" s="19" t="s">
        <v>1611</v>
      </c>
      <c r="E107" s="19" t="s">
        <v>1612</v>
      </c>
      <c r="F107" s="19" t="s">
        <v>989</v>
      </c>
      <c r="G107" s="19" t="s">
        <v>1613</v>
      </c>
      <c r="H107" s="19" t="s">
        <v>1614</v>
      </c>
      <c r="I107" s="19" t="s">
        <v>1615</v>
      </c>
      <c r="J107" s="19" t="s">
        <v>1616</v>
      </c>
      <c r="K107" s="19" t="s">
        <v>450</v>
      </c>
      <c r="L107" s="19" t="s">
        <v>1617</v>
      </c>
      <c r="M107" s="18" t="s">
        <v>495</v>
      </c>
      <c r="N107" s="18" t="s">
        <v>496</v>
      </c>
      <c r="O107" s="19" t="s">
        <v>1618</v>
      </c>
      <c r="P107" s="19" t="s">
        <v>1619</v>
      </c>
      <c r="Q107" s="19" t="s">
        <v>1620</v>
      </c>
      <c r="R107" s="18" t="s">
        <v>1572</v>
      </c>
      <c r="S107" s="18">
        <f>COUNTIF('Criterios GWT'!B:B,A107)</f>
        <v>2</v>
      </c>
    </row>
    <row r="108" spans="1:19" ht="135" hidden="1" customHeight="1" x14ac:dyDescent="0.25">
      <c r="A108" s="16" t="s">
        <v>1621</v>
      </c>
      <c r="B108" s="17" t="s">
        <v>1560</v>
      </c>
      <c r="C108" s="17" t="s">
        <v>122</v>
      </c>
      <c r="D108" s="17" t="s">
        <v>1622</v>
      </c>
      <c r="E108" s="17" t="s">
        <v>1623</v>
      </c>
      <c r="F108" s="17" t="s">
        <v>1624</v>
      </c>
      <c r="G108" s="17" t="s">
        <v>1625</v>
      </c>
      <c r="H108" s="17" t="s">
        <v>1626</v>
      </c>
      <c r="I108" s="17" t="s">
        <v>1627</v>
      </c>
      <c r="J108" s="17" t="s">
        <v>1628</v>
      </c>
      <c r="K108" s="17" t="s">
        <v>1629</v>
      </c>
      <c r="L108" s="17" t="s">
        <v>1630</v>
      </c>
      <c r="M108" s="16" t="s">
        <v>619</v>
      </c>
      <c r="N108" s="16" t="s">
        <v>678</v>
      </c>
      <c r="O108" s="17" t="s">
        <v>1631</v>
      </c>
      <c r="P108" s="17" t="s">
        <v>1632</v>
      </c>
      <c r="Q108" s="17" t="s">
        <v>1633</v>
      </c>
      <c r="R108" s="16" t="s">
        <v>1572</v>
      </c>
      <c r="S108" s="16">
        <f>COUNTIF('Criterios GWT'!B:B,A108)</f>
        <v>3</v>
      </c>
    </row>
    <row r="109" spans="1:19" ht="67.5" hidden="1" customHeight="1" x14ac:dyDescent="0.25">
      <c r="A109" s="18" t="s">
        <v>1634</v>
      </c>
      <c r="B109" s="19" t="s">
        <v>1635</v>
      </c>
      <c r="C109" s="19" t="s">
        <v>122</v>
      </c>
      <c r="D109" s="19" t="s">
        <v>1636</v>
      </c>
      <c r="E109" s="19" t="s">
        <v>1637</v>
      </c>
      <c r="F109" s="19" t="s">
        <v>218</v>
      </c>
      <c r="G109" s="19" t="s">
        <v>558</v>
      </c>
      <c r="H109" s="19" t="s">
        <v>1638</v>
      </c>
      <c r="I109" s="19" t="s">
        <v>1639</v>
      </c>
      <c r="J109" s="19" t="s">
        <v>1640</v>
      </c>
      <c r="K109" s="19" t="s">
        <v>429</v>
      </c>
      <c r="L109" s="19" t="s">
        <v>1641</v>
      </c>
      <c r="M109" s="18" t="s">
        <v>495</v>
      </c>
      <c r="N109" s="18" t="s">
        <v>496</v>
      </c>
      <c r="O109" s="19" t="s">
        <v>289</v>
      </c>
      <c r="P109" s="19" t="s">
        <v>1642</v>
      </c>
      <c r="Q109" s="19" t="s">
        <v>1643</v>
      </c>
      <c r="R109" s="18" t="s">
        <v>499</v>
      </c>
      <c r="S109" s="18">
        <f>COUNTIF('Criterios GWT'!B:B,A109)</f>
        <v>2</v>
      </c>
    </row>
    <row r="110" spans="1:19" ht="81" hidden="1" customHeight="1" x14ac:dyDescent="0.25">
      <c r="A110" s="16" t="s">
        <v>1644</v>
      </c>
      <c r="B110" s="17" t="s">
        <v>1635</v>
      </c>
      <c r="C110" s="17" t="s">
        <v>105</v>
      </c>
      <c r="D110" s="17" t="s">
        <v>1645</v>
      </c>
      <c r="E110" s="17" t="s">
        <v>1646</v>
      </c>
      <c r="F110" s="17" t="s">
        <v>731</v>
      </c>
      <c r="G110" s="17" t="s">
        <v>1647</v>
      </c>
      <c r="H110" s="17" t="s">
        <v>1648</v>
      </c>
      <c r="I110" s="17" t="s">
        <v>1649</v>
      </c>
      <c r="J110" s="17" t="s">
        <v>1650</v>
      </c>
      <c r="K110" s="17" t="s">
        <v>447</v>
      </c>
      <c r="L110" s="17" t="s">
        <v>1651</v>
      </c>
      <c r="M110" s="16" t="s">
        <v>495</v>
      </c>
      <c r="N110" s="16" t="s">
        <v>496</v>
      </c>
      <c r="O110" s="17" t="s">
        <v>289</v>
      </c>
      <c r="P110" s="17" t="s">
        <v>1652</v>
      </c>
      <c r="Q110" s="17" t="s">
        <v>1653</v>
      </c>
      <c r="R110" s="16" t="s">
        <v>499</v>
      </c>
      <c r="S110" s="16">
        <f>COUNTIF('Criterios GWT'!B:B,A110)</f>
        <v>2</v>
      </c>
    </row>
    <row r="111" spans="1:19" ht="108" hidden="1" customHeight="1" x14ac:dyDescent="0.25">
      <c r="A111" s="18" t="s">
        <v>1654</v>
      </c>
      <c r="B111" s="19" t="s">
        <v>1635</v>
      </c>
      <c r="C111" s="19" t="s">
        <v>122</v>
      </c>
      <c r="D111" s="19" t="s">
        <v>1655</v>
      </c>
      <c r="E111" s="19" t="s">
        <v>1656</v>
      </c>
      <c r="F111" s="19" t="s">
        <v>218</v>
      </c>
      <c r="G111" s="19" t="s">
        <v>558</v>
      </c>
      <c r="H111" s="19" t="s">
        <v>1657</v>
      </c>
      <c r="I111" s="19" t="s">
        <v>1658</v>
      </c>
      <c r="J111" s="19" t="s">
        <v>1659</v>
      </c>
      <c r="K111" s="19" t="s">
        <v>447</v>
      </c>
      <c r="L111" s="19" t="s">
        <v>1660</v>
      </c>
      <c r="M111" s="18" t="s">
        <v>495</v>
      </c>
      <c r="N111" s="18" t="s">
        <v>496</v>
      </c>
      <c r="O111" s="19" t="s">
        <v>1661</v>
      </c>
      <c r="P111" s="19" t="s">
        <v>1662</v>
      </c>
      <c r="Q111" s="19" t="s">
        <v>1663</v>
      </c>
      <c r="R111" s="18" t="s">
        <v>499</v>
      </c>
      <c r="S111" s="18">
        <f>COUNTIF('Criterios GWT'!B:B,A111)</f>
        <v>3</v>
      </c>
    </row>
    <row r="112" spans="1:19" ht="81" hidden="1" customHeight="1" x14ac:dyDescent="0.25">
      <c r="A112" s="16" t="s">
        <v>1664</v>
      </c>
      <c r="B112" s="17" t="s">
        <v>1635</v>
      </c>
      <c r="C112" s="17" t="s">
        <v>105</v>
      </c>
      <c r="D112" s="17" t="s">
        <v>1665</v>
      </c>
      <c r="E112" s="17" t="s">
        <v>1666</v>
      </c>
      <c r="F112" s="17" t="s">
        <v>1508</v>
      </c>
      <c r="G112" s="17" t="s">
        <v>1667</v>
      </c>
      <c r="H112" s="17" t="s">
        <v>1668</v>
      </c>
      <c r="I112" s="17" t="s">
        <v>1669</v>
      </c>
      <c r="J112" s="17" t="s">
        <v>1670</v>
      </c>
      <c r="K112" s="17" t="s">
        <v>447</v>
      </c>
      <c r="L112" s="17" t="s">
        <v>1671</v>
      </c>
      <c r="M112" s="16" t="s">
        <v>495</v>
      </c>
      <c r="N112" s="16" t="s">
        <v>496</v>
      </c>
      <c r="O112" s="17" t="s">
        <v>289</v>
      </c>
      <c r="P112" s="17" t="s">
        <v>1672</v>
      </c>
      <c r="Q112" s="17" t="s">
        <v>1673</v>
      </c>
      <c r="R112" s="16" t="s">
        <v>499</v>
      </c>
      <c r="S112" s="16">
        <f>COUNTIF('Criterios GWT'!B:B,A112)</f>
        <v>2</v>
      </c>
    </row>
    <row r="113" spans="1:19" ht="81" hidden="1" customHeight="1" x14ac:dyDescent="0.25">
      <c r="A113" s="18" t="s">
        <v>1674</v>
      </c>
      <c r="B113" s="19" t="s">
        <v>1635</v>
      </c>
      <c r="C113" s="19" t="s">
        <v>109</v>
      </c>
      <c r="D113" s="19" t="s">
        <v>1675</v>
      </c>
      <c r="E113" s="19" t="s">
        <v>1676</v>
      </c>
      <c r="F113" s="19" t="s">
        <v>695</v>
      </c>
      <c r="G113" s="19" t="s">
        <v>1677</v>
      </c>
      <c r="H113" s="19" t="s">
        <v>1678</v>
      </c>
      <c r="I113" s="19" t="s">
        <v>1679</v>
      </c>
      <c r="J113" s="19" t="s">
        <v>1680</v>
      </c>
      <c r="K113" s="19" t="s">
        <v>447</v>
      </c>
      <c r="L113" s="19" t="s">
        <v>1681</v>
      </c>
      <c r="M113" s="18" t="s">
        <v>619</v>
      </c>
      <c r="N113" s="18" t="s">
        <v>496</v>
      </c>
      <c r="O113" s="19" t="s">
        <v>289</v>
      </c>
      <c r="P113" s="19" t="s">
        <v>1682</v>
      </c>
      <c r="Q113" s="19" t="s">
        <v>1683</v>
      </c>
      <c r="R113" s="18" t="s">
        <v>499</v>
      </c>
      <c r="S113" s="18">
        <f>COUNTIF('Criterios GWT'!B:B,A113)</f>
        <v>2</v>
      </c>
    </row>
    <row r="114" spans="1:19" ht="121.5" hidden="1" customHeight="1" x14ac:dyDescent="0.25">
      <c r="A114" s="16" t="s">
        <v>1684</v>
      </c>
      <c r="B114" s="17" t="s">
        <v>1685</v>
      </c>
      <c r="C114" s="17" t="s">
        <v>162</v>
      </c>
      <c r="D114" s="17" t="s">
        <v>1686</v>
      </c>
      <c r="E114" s="17" t="s">
        <v>1687</v>
      </c>
      <c r="F114" s="17" t="s">
        <v>1688</v>
      </c>
      <c r="G114" s="17" t="s">
        <v>1689</v>
      </c>
      <c r="H114" s="17" t="s">
        <v>1690</v>
      </c>
      <c r="I114" s="17" t="s">
        <v>1691</v>
      </c>
      <c r="J114" s="17" t="s">
        <v>1692</v>
      </c>
      <c r="K114" s="17" t="s">
        <v>1693</v>
      </c>
      <c r="L114" s="17" t="s">
        <v>1694</v>
      </c>
      <c r="M114" s="16" t="s">
        <v>495</v>
      </c>
      <c r="N114" s="16" t="s">
        <v>496</v>
      </c>
      <c r="O114" s="17" t="s">
        <v>282</v>
      </c>
      <c r="P114" s="17" t="s">
        <v>1695</v>
      </c>
      <c r="Q114" s="17" t="s">
        <v>1696</v>
      </c>
      <c r="R114" s="16" t="s">
        <v>499</v>
      </c>
      <c r="S114" s="16">
        <f>COUNTIF('Criterios GWT'!B:B,A114)</f>
        <v>3</v>
      </c>
    </row>
    <row r="115" spans="1:19" ht="94.5" hidden="1" customHeight="1" x14ac:dyDescent="0.25">
      <c r="A115" s="18" t="s">
        <v>1697</v>
      </c>
      <c r="B115" s="19" t="s">
        <v>1685</v>
      </c>
      <c r="C115" s="19" t="s">
        <v>122</v>
      </c>
      <c r="D115" s="19" t="s">
        <v>1698</v>
      </c>
      <c r="E115" s="19" t="s">
        <v>1699</v>
      </c>
      <c r="F115" s="19" t="s">
        <v>218</v>
      </c>
      <c r="G115" s="19" t="s">
        <v>558</v>
      </c>
      <c r="H115" s="19" t="s">
        <v>1700</v>
      </c>
      <c r="I115" s="19" t="s">
        <v>1701</v>
      </c>
      <c r="J115" s="19" t="s">
        <v>1702</v>
      </c>
      <c r="K115" s="19" t="s">
        <v>1703</v>
      </c>
      <c r="L115" s="19" t="s">
        <v>1704</v>
      </c>
      <c r="M115" s="18" t="s">
        <v>495</v>
      </c>
      <c r="N115" s="18" t="s">
        <v>496</v>
      </c>
      <c r="O115" s="19" t="s">
        <v>1705</v>
      </c>
      <c r="P115" s="19" t="s">
        <v>1706</v>
      </c>
      <c r="Q115" s="19" t="s">
        <v>1707</v>
      </c>
      <c r="R115" s="18" t="s">
        <v>499</v>
      </c>
      <c r="S115" s="18">
        <f>COUNTIF('Criterios GWT'!B:B,A115)</f>
        <v>2</v>
      </c>
    </row>
    <row r="116" spans="1:19" ht="67.5" hidden="1" customHeight="1" x14ac:dyDescent="0.25">
      <c r="A116" s="16" t="s">
        <v>1708</v>
      </c>
      <c r="B116" s="17" t="s">
        <v>1685</v>
      </c>
      <c r="C116" s="17" t="s">
        <v>105</v>
      </c>
      <c r="D116" s="17" t="s">
        <v>1709</v>
      </c>
      <c r="E116" s="17" t="s">
        <v>1710</v>
      </c>
      <c r="F116" s="17" t="s">
        <v>177</v>
      </c>
      <c r="G116" s="17" t="s">
        <v>1711</v>
      </c>
      <c r="H116" s="17" t="s">
        <v>1712</v>
      </c>
      <c r="I116" s="17" t="s">
        <v>1713</v>
      </c>
      <c r="J116" s="17" t="s">
        <v>1714</v>
      </c>
      <c r="K116" s="17" t="s">
        <v>438</v>
      </c>
      <c r="L116" s="17" t="s">
        <v>1715</v>
      </c>
      <c r="M116" s="16" t="s">
        <v>495</v>
      </c>
      <c r="N116" s="16" t="s">
        <v>496</v>
      </c>
      <c r="O116" s="17" t="s">
        <v>282</v>
      </c>
      <c r="P116" s="17" t="s">
        <v>1716</v>
      </c>
      <c r="Q116" s="17" t="s">
        <v>1558</v>
      </c>
      <c r="R116" s="16" t="s">
        <v>499</v>
      </c>
      <c r="S116" s="16">
        <f>COUNTIF('Criterios GWT'!B:B,A116)</f>
        <v>2</v>
      </c>
    </row>
    <row r="117" spans="1:19" ht="81" hidden="1" customHeight="1" x14ac:dyDescent="0.25">
      <c r="A117" s="18" t="s">
        <v>1717</v>
      </c>
      <c r="B117" s="19" t="s">
        <v>1685</v>
      </c>
      <c r="C117" s="19" t="s">
        <v>105</v>
      </c>
      <c r="D117" s="19" t="s">
        <v>1718</v>
      </c>
      <c r="E117" s="19" t="s">
        <v>1719</v>
      </c>
      <c r="F117" s="19" t="s">
        <v>1720</v>
      </c>
      <c r="G117" s="19" t="s">
        <v>1721</v>
      </c>
      <c r="H117" s="19" t="s">
        <v>1722</v>
      </c>
      <c r="I117" s="19" t="s">
        <v>1723</v>
      </c>
      <c r="J117" s="19" t="s">
        <v>1724</v>
      </c>
      <c r="K117" s="19" t="s">
        <v>1725</v>
      </c>
      <c r="L117" s="19" t="s">
        <v>1726</v>
      </c>
      <c r="M117" s="18" t="s">
        <v>495</v>
      </c>
      <c r="N117" s="18" t="s">
        <v>496</v>
      </c>
      <c r="O117" s="19" t="s">
        <v>282</v>
      </c>
      <c r="P117" s="19" t="s">
        <v>1727</v>
      </c>
      <c r="Q117" s="19" t="s">
        <v>1728</v>
      </c>
      <c r="R117" s="18" t="s">
        <v>499</v>
      </c>
      <c r="S117" s="18">
        <f>COUNTIF('Criterios GWT'!B:B,A117)</f>
        <v>3</v>
      </c>
    </row>
    <row r="118" spans="1:19" ht="81" hidden="1" customHeight="1" x14ac:dyDescent="0.25">
      <c r="A118" s="16" t="s">
        <v>1729</v>
      </c>
      <c r="B118" s="17" t="s">
        <v>1685</v>
      </c>
      <c r="C118" s="17" t="s">
        <v>105</v>
      </c>
      <c r="D118" s="17" t="s">
        <v>1730</v>
      </c>
      <c r="E118" s="17" t="s">
        <v>1731</v>
      </c>
      <c r="F118" s="17" t="s">
        <v>1720</v>
      </c>
      <c r="G118" s="17" t="s">
        <v>1732</v>
      </c>
      <c r="H118" s="17" t="s">
        <v>1733</v>
      </c>
      <c r="I118" s="17" t="s">
        <v>1734</v>
      </c>
      <c r="J118" s="17" t="s">
        <v>1735</v>
      </c>
      <c r="K118" s="17" t="s">
        <v>1736</v>
      </c>
      <c r="L118" s="17" t="s">
        <v>1737</v>
      </c>
      <c r="M118" s="16" t="s">
        <v>495</v>
      </c>
      <c r="N118" s="16" t="s">
        <v>496</v>
      </c>
      <c r="O118" s="17" t="s">
        <v>282</v>
      </c>
      <c r="P118" s="17" t="s">
        <v>1738</v>
      </c>
      <c r="Q118" s="17" t="s">
        <v>1739</v>
      </c>
      <c r="R118" s="16" t="s">
        <v>499</v>
      </c>
      <c r="S118" s="16">
        <f>COUNTIF('Criterios GWT'!B:B,A118)</f>
        <v>3</v>
      </c>
    </row>
    <row r="119" spans="1:19" ht="94.5" hidden="1" customHeight="1" x14ac:dyDescent="0.25">
      <c r="A119" s="18" t="s">
        <v>1740</v>
      </c>
      <c r="B119" s="19" t="s">
        <v>1685</v>
      </c>
      <c r="C119" s="19" t="s">
        <v>105</v>
      </c>
      <c r="D119" s="19" t="s">
        <v>1741</v>
      </c>
      <c r="E119" s="19" t="s">
        <v>1742</v>
      </c>
      <c r="F119" s="19" t="s">
        <v>1743</v>
      </c>
      <c r="G119" s="19" t="s">
        <v>1744</v>
      </c>
      <c r="H119" s="19" t="s">
        <v>1745</v>
      </c>
      <c r="I119" s="19" t="s">
        <v>1746</v>
      </c>
      <c r="J119" s="19" t="s">
        <v>1747</v>
      </c>
      <c r="K119" s="19" t="s">
        <v>1748</v>
      </c>
      <c r="L119" s="19" t="s">
        <v>1749</v>
      </c>
      <c r="M119" s="18" t="s">
        <v>619</v>
      </c>
      <c r="N119" s="18" t="s">
        <v>496</v>
      </c>
      <c r="O119" s="19" t="s">
        <v>282</v>
      </c>
      <c r="P119" s="19" t="s">
        <v>1750</v>
      </c>
      <c r="Q119" s="19" t="s">
        <v>1751</v>
      </c>
      <c r="R119" s="18" t="s">
        <v>499</v>
      </c>
      <c r="S119" s="18">
        <f>COUNTIF('Criterios GWT'!B:B,A119)</f>
        <v>2</v>
      </c>
    </row>
    <row r="120" spans="1:19" ht="94.5" hidden="1" customHeight="1" x14ac:dyDescent="0.25">
      <c r="A120" s="16" t="s">
        <v>1752</v>
      </c>
      <c r="B120" s="17" t="s">
        <v>1685</v>
      </c>
      <c r="C120" s="17" t="s">
        <v>105</v>
      </c>
      <c r="D120" s="17" t="s">
        <v>1753</v>
      </c>
      <c r="E120" s="17" t="s">
        <v>1754</v>
      </c>
      <c r="F120" s="17" t="s">
        <v>1755</v>
      </c>
      <c r="G120" s="17" t="s">
        <v>1744</v>
      </c>
      <c r="H120" s="17" t="s">
        <v>1756</v>
      </c>
      <c r="I120" s="17" t="s">
        <v>1757</v>
      </c>
      <c r="J120" s="17" t="s">
        <v>1758</v>
      </c>
      <c r="K120" s="17" t="s">
        <v>441</v>
      </c>
      <c r="L120" s="17" t="s">
        <v>1759</v>
      </c>
      <c r="M120" s="16" t="s">
        <v>619</v>
      </c>
      <c r="N120" s="16" t="s">
        <v>496</v>
      </c>
      <c r="O120" s="17" t="s">
        <v>282</v>
      </c>
      <c r="P120" s="17" t="s">
        <v>1760</v>
      </c>
      <c r="Q120" s="17" t="s">
        <v>1761</v>
      </c>
      <c r="R120" s="16" t="s">
        <v>499</v>
      </c>
      <c r="S120" s="16">
        <f>COUNTIF('Criterios GWT'!B:B,A120)</f>
        <v>2</v>
      </c>
    </row>
    <row r="121" spans="1:19" ht="67.5" hidden="1" customHeight="1" x14ac:dyDescent="0.25">
      <c r="A121" s="18" t="s">
        <v>1762</v>
      </c>
      <c r="B121" s="19" t="s">
        <v>1685</v>
      </c>
      <c r="C121" s="19" t="s">
        <v>105</v>
      </c>
      <c r="D121" s="19" t="s">
        <v>1763</v>
      </c>
      <c r="E121" s="19" t="s">
        <v>1764</v>
      </c>
      <c r="F121" s="19" t="s">
        <v>1720</v>
      </c>
      <c r="G121" s="19" t="s">
        <v>1765</v>
      </c>
      <c r="H121" s="19" t="s">
        <v>1766</v>
      </c>
      <c r="I121" s="19" t="s">
        <v>1767</v>
      </c>
      <c r="J121" s="19" t="s">
        <v>1768</v>
      </c>
      <c r="K121" s="19" t="s">
        <v>450</v>
      </c>
      <c r="L121" s="19" t="s">
        <v>1769</v>
      </c>
      <c r="M121" s="18" t="s">
        <v>619</v>
      </c>
      <c r="N121" s="18" t="s">
        <v>678</v>
      </c>
      <c r="O121" s="19" t="s">
        <v>282</v>
      </c>
      <c r="P121" s="19" t="s">
        <v>1770</v>
      </c>
      <c r="Q121" s="19" t="s">
        <v>1771</v>
      </c>
      <c r="R121" s="18" t="s">
        <v>1572</v>
      </c>
      <c r="S121" s="18">
        <f>COUNTIF('Criterios GWT'!B:B,A121)</f>
        <v>2</v>
      </c>
    </row>
    <row r="122" spans="1:19" ht="108" hidden="1" customHeight="1" x14ac:dyDescent="0.25">
      <c r="A122" s="16" t="s">
        <v>1772</v>
      </c>
      <c r="B122" s="17" t="s">
        <v>1773</v>
      </c>
      <c r="C122" s="17" t="s">
        <v>109</v>
      </c>
      <c r="D122" s="17" t="s">
        <v>1774</v>
      </c>
      <c r="E122" s="17" t="s">
        <v>1775</v>
      </c>
      <c r="F122" s="17" t="s">
        <v>1776</v>
      </c>
      <c r="G122" s="17" t="s">
        <v>1777</v>
      </c>
      <c r="H122" s="17" t="s">
        <v>1778</v>
      </c>
      <c r="I122" s="17" t="s">
        <v>1779</v>
      </c>
      <c r="J122" s="17" t="s">
        <v>1780</v>
      </c>
      <c r="K122" s="17" t="s">
        <v>1781</v>
      </c>
      <c r="L122" s="17" t="s">
        <v>1782</v>
      </c>
      <c r="M122" s="16" t="s">
        <v>495</v>
      </c>
      <c r="N122" s="16" t="s">
        <v>496</v>
      </c>
      <c r="O122" s="17" t="s">
        <v>275</v>
      </c>
      <c r="P122" s="17" t="s">
        <v>1783</v>
      </c>
      <c r="Q122" s="17" t="s">
        <v>1784</v>
      </c>
      <c r="R122" s="16" t="s">
        <v>499</v>
      </c>
      <c r="S122" s="16">
        <f>COUNTIF('Criterios GWT'!B:B,A122)</f>
        <v>3</v>
      </c>
    </row>
    <row r="123" spans="1:19" ht="81" hidden="1" customHeight="1" x14ac:dyDescent="0.25">
      <c r="A123" s="18" t="s">
        <v>1785</v>
      </c>
      <c r="B123" s="19" t="s">
        <v>1773</v>
      </c>
      <c r="C123" s="19" t="s">
        <v>109</v>
      </c>
      <c r="D123" s="19" t="s">
        <v>1786</v>
      </c>
      <c r="E123" s="19" t="s">
        <v>1787</v>
      </c>
      <c r="F123" s="19" t="s">
        <v>193</v>
      </c>
      <c r="G123" s="19" t="s">
        <v>1788</v>
      </c>
      <c r="H123" s="19" t="s">
        <v>1789</v>
      </c>
      <c r="I123" s="19" t="s">
        <v>1790</v>
      </c>
      <c r="J123" s="19" t="s">
        <v>1791</v>
      </c>
      <c r="K123" s="19" t="s">
        <v>453</v>
      </c>
      <c r="L123" s="19" t="s">
        <v>1792</v>
      </c>
      <c r="M123" s="18" t="s">
        <v>495</v>
      </c>
      <c r="N123" s="18" t="s">
        <v>496</v>
      </c>
      <c r="O123" s="19" t="s">
        <v>275</v>
      </c>
      <c r="P123" s="19" t="s">
        <v>1793</v>
      </c>
      <c r="Q123" s="19" t="s">
        <v>1794</v>
      </c>
      <c r="R123" s="18" t="s">
        <v>499</v>
      </c>
      <c r="S123" s="18">
        <f>COUNTIF('Criterios GWT'!B:B,A123)</f>
        <v>3</v>
      </c>
    </row>
    <row r="124" spans="1:19" ht="67.5" hidden="1" customHeight="1" x14ac:dyDescent="0.25">
      <c r="A124" s="16" t="s">
        <v>1795</v>
      </c>
      <c r="B124" s="17" t="s">
        <v>1773</v>
      </c>
      <c r="C124" s="17" t="s">
        <v>109</v>
      </c>
      <c r="D124" s="17" t="s">
        <v>1796</v>
      </c>
      <c r="E124" s="17" t="s">
        <v>1797</v>
      </c>
      <c r="F124" s="17" t="s">
        <v>193</v>
      </c>
      <c r="G124" s="17" t="s">
        <v>1798</v>
      </c>
      <c r="H124" s="17" t="s">
        <v>1789</v>
      </c>
      <c r="I124" s="17" t="s">
        <v>1799</v>
      </c>
      <c r="J124" s="17" t="s">
        <v>1800</v>
      </c>
      <c r="K124" s="17" t="s">
        <v>1801</v>
      </c>
      <c r="L124" s="17" t="s">
        <v>1802</v>
      </c>
      <c r="M124" s="16" t="s">
        <v>619</v>
      </c>
      <c r="N124" s="16" t="s">
        <v>496</v>
      </c>
      <c r="O124" s="17" t="s">
        <v>275</v>
      </c>
      <c r="P124" s="17" t="s">
        <v>1803</v>
      </c>
      <c r="Q124" s="17" t="s">
        <v>1804</v>
      </c>
      <c r="R124" s="16" t="s">
        <v>499</v>
      </c>
      <c r="S124" s="16">
        <f>COUNTIF('Criterios GWT'!B:B,A124)</f>
        <v>2</v>
      </c>
    </row>
    <row r="125" spans="1:19" ht="81" hidden="1" customHeight="1" x14ac:dyDescent="0.25">
      <c r="A125" s="18" t="s">
        <v>1805</v>
      </c>
      <c r="B125" s="19" t="s">
        <v>1773</v>
      </c>
      <c r="C125" s="19" t="s">
        <v>109</v>
      </c>
      <c r="D125" s="19" t="s">
        <v>1806</v>
      </c>
      <c r="E125" s="19" t="s">
        <v>1807</v>
      </c>
      <c r="F125" s="19" t="s">
        <v>1808</v>
      </c>
      <c r="G125" s="19" t="s">
        <v>1809</v>
      </c>
      <c r="H125" s="19" t="s">
        <v>1789</v>
      </c>
      <c r="I125" s="19" t="s">
        <v>1810</v>
      </c>
      <c r="J125" s="19" t="s">
        <v>1811</v>
      </c>
      <c r="K125" s="19" t="s">
        <v>453</v>
      </c>
      <c r="L125" s="19" t="s">
        <v>1812</v>
      </c>
      <c r="M125" s="18" t="s">
        <v>619</v>
      </c>
      <c r="N125" s="18" t="s">
        <v>496</v>
      </c>
      <c r="O125" s="19" t="s">
        <v>275</v>
      </c>
      <c r="P125" s="19" t="s">
        <v>1813</v>
      </c>
      <c r="Q125" s="19" t="s">
        <v>1814</v>
      </c>
      <c r="R125" s="18" t="s">
        <v>499</v>
      </c>
      <c r="S125" s="18">
        <f>COUNTIF('Criterios GWT'!B:B,A125)</f>
        <v>2</v>
      </c>
    </row>
    <row r="126" spans="1:19" ht="81" hidden="1" customHeight="1" x14ac:dyDescent="0.25">
      <c r="A126" s="16" t="s">
        <v>1815</v>
      </c>
      <c r="B126" s="17" t="s">
        <v>1773</v>
      </c>
      <c r="C126" s="17" t="s">
        <v>109</v>
      </c>
      <c r="D126" s="17" t="s">
        <v>1816</v>
      </c>
      <c r="E126" s="17" t="s">
        <v>1817</v>
      </c>
      <c r="F126" s="17" t="s">
        <v>193</v>
      </c>
      <c r="G126" s="17" t="s">
        <v>1818</v>
      </c>
      <c r="H126" s="17" t="s">
        <v>1819</v>
      </c>
      <c r="I126" s="17" t="s">
        <v>1820</v>
      </c>
      <c r="J126" s="17" t="s">
        <v>1821</v>
      </c>
      <c r="K126" s="17" t="s">
        <v>453</v>
      </c>
      <c r="L126" s="17" t="s">
        <v>1822</v>
      </c>
      <c r="M126" s="16" t="s">
        <v>619</v>
      </c>
      <c r="N126" s="16" t="s">
        <v>496</v>
      </c>
      <c r="O126" s="17" t="s">
        <v>275</v>
      </c>
      <c r="P126" s="17" t="s">
        <v>1823</v>
      </c>
      <c r="Q126" s="17" t="s">
        <v>1804</v>
      </c>
      <c r="R126" s="16" t="s">
        <v>499</v>
      </c>
      <c r="S126" s="16">
        <f>COUNTIF('Criterios GWT'!B:B,A126)</f>
        <v>2</v>
      </c>
    </row>
    <row r="127" spans="1:19" ht="94.5" hidden="1" customHeight="1" x14ac:dyDescent="0.25">
      <c r="A127" s="18" t="s">
        <v>1824</v>
      </c>
      <c r="B127" s="19" t="s">
        <v>1773</v>
      </c>
      <c r="C127" s="19" t="s">
        <v>162</v>
      </c>
      <c r="D127" s="19" t="s">
        <v>1825</v>
      </c>
      <c r="E127" s="19" t="s">
        <v>1826</v>
      </c>
      <c r="F127" s="19" t="s">
        <v>1827</v>
      </c>
      <c r="G127" s="19" t="s">
        <v>1828</v>
      </c>
      <c r="H127" s="19" t="s">
        <v>1829</v>
      </c>
      <c r="I127" s="19" t="s">
        <v>1830</v>
      </c>
      <c r="J127" s="19" t="s">
        <v>1831</v>
      </c>
      <c r="K127" s="19" t="s">
        <v>1832</v>
      </c>
      <c r="L127" s="19" t="s">
        <v>1833</v>
      </c>
      <c r="M127" s="18" t="s">
        <v>495</v>
      </c>
      <c r="N127" s="18" t="s">
        <v>496</v>
      </c>
      <c r="O127" s="19" t="s">
        <v>1834</v>
      </c>
      <c r="P127" s="19" t="s">
        <v>1835</v>
      </c>
      <c r="Q127" s="19" t="s">
        <v>1836</v>
      </c>
      <c r="R127" s="18" t="s">
        <v>499</v>
      </c>
      <c r="S127" s="18">
        <f>COUNTIF('Criterios GWT'!B:B,A127)</f>
        <v>3</v>
      </c>
    </row>
    <row r="128" spans="1:19" ht="108" hidden="1" customHeight="1" x14ac:dyDescent="0.25">
      <c r="A128" s="16" t="s">
        <v>1837</v>
      </c>
      <c r="B128" s="17" t="s">
        <v>1838</v>
      </c>
      <c r="C128" s="17" t="s">
        <v>162</v>
      </c>
      <c r="D128" s="17" t="s">
        <v>1839</v>
      </c>
      <c r="E128" s="17" t="s">
        <v>1840</v>
      </c>
      <c r="F128" s="17" t="s">
        <v>1841</v>
      </c>
      <c r="G128" s="17" t="s">
        <v>1842</v>
      </c>
      <c r="H128" s="17" t="s">
        <v>1843</v>
      </c>
      <c r="I128" s="17" t="s">
        <v>1844</v>
      </c>
      <c r="J128" s="17" t="s">
        <v>1845</v>
      </c>
      <c r="K128" s="17" t="s">
        <v>1846</v>
      </c>
      <c r="L128" s="17" t="s">
        <v>1847</v>
      </c>
      <c r="M128" s="16" t="s">
        <v>495</v>
      </c>
      <c r="N128" s="16" t="s">
        <v>496</v>
      </c>
      <c r="O128" s="17" t="s">
        <v>1848</v>
      </c>
      <c r="P128" s="17" t="s">
        <v>1849</v>
      </c>
      <c r="Q128" s="17" t="s">
        <v>1850</v>
      </c>
      <c r="R128" s="16" t="s">
        <v>499</v>
      </c>
      <c r="S128" s="16">
        <f>COUNTIF('Criterios GWT'!B:B,A128)</f>
        <v>2</v>
      </c>
    </row>
    <row r="129" spans="1:19" ht="67.5" hidden="1" customHeight="1" x14ac:dyDescent="0.25">
      <c r="A129" s="18" t="s">
        <v>1851</v>
      </c>
      <c r="B129" s="19" t="s">
        <v>1838</v>
      </c>
      <c r="C129" s="19" t="s">
        <v>162</v>
      </c>
      <c r="D129" s="19" t="s">
        <v>1852</v>
      </c>
      <c r="E129" s="19" t="s">
        <v>1853</v>
      </c>
      <c r="F129" s="19" t="s">
        <v>1854</v>
      </c>
      <c r="G129" s="19" t="s">
        <v>1855</v>
      </c>
      <c r="H129" s="19" t="s">
        <v>1856</v>
      </c>
      <c r="I129" s="19" t="s">
        <v>1857</v>
      </c>
      <c r="J129" s="19" t="s">
        <v>1858</v>
      </c>
      <c r="K129" s="19" t="s">
        <v>456</v>
      </c>
      <c r="L129" s="19" t="s">
        <v>1859</v>
      </c>
      <c r="M129" s="18" t="s">
        <v>495</v>
      </c>
      <c r="N129" s="18" t="s">
        <v>496</v>
      </c>
      <c r="O129" s="19" t="s">
        <v>275</v>
      </c>
      <c r="P129" s="19" t="s">
        <v>1860</v>
      </c>
      <c r="Q129" s="19" t="s">
        <v>1861</v>
      </c>
      <c r="R129" s="18" t="s">
        <v>499</v>
      </c>
      <c r="S129" s="18">
        <f>COUNTIF('Criterios GWT'!B:B,A129)</f>
        <v>3</v>
      </c>
    </row>
    <row r="130" spans="1:19" ht="81" hidden="1" customHeight="1" x14ac:dyDescent="0.25">
      <c r="A130" s="16" t="s">
        <v>1862</v>
      </c>
      <c r="B130" s="17" t="s">
        <v>1838</v>
      </c>
      <c r="C130" s="17" t="s">
        <v>162</v>
      </c>
      <c r="D130" s="17" t="s">
        <v>1863</v>
      </c>
      <c r="E130" s="17" t="s">
        <v>1864</v>
      </c>
      <c r="F130" s="17" t="s">
        <v>186</v>
      </c>
      <c r="G130" s="17" t="s">
        <v>1865</v>
      </c>
      <c r="H130" s="17" t="s">
        <v>1866</v>
      </c>
      <c r="I130" s="17" t="s">
        <v>1867</v>
      </c>
      <c r="J130" s="17" t="s">
        <v>1868</v>
      </c>
      <c r="K130" s="17" t="s">
        <v>1869</v>
      </c>
      <c r="L130" s="17" t="s">
        <v>1870</v>
      </c>
      <c r="M130" s="16" t="s">
        <v>619</v>
      </c>
      <c r="N130" s="16" t="s">
        <v>496</v>
      </c>
      <c r="O130" s="17" t="s">
        <v>1871</v>
      </c>
      <c r="P130" s="17" t="s">
        <v>1872</v>
      </c>
      <c r="Q130" s="17" t="s">
        <v>1873</v>
      </c>
      <c r="R130" s="16" t="s">
        <v>499</v>
      </c>
      <c r="S130" s="16">
        <f>COUNTIF('Criterios GWT'!B:B,A130)</f>
        <v>2</v>
      </c>
    </row>
    <row r="131" spans="1:19" ht="81" hidden="1" customHeight="1" x14ac:dyDescent="0.25">
      <c r="A131" s="18" t="s">
        <v>1874</v>
      </c>
      <c r="B131" s="19" t="s">
        <v>1838</v>
      </c>
      <c r="C131" s="19" t="s">
        <v>162</v>
      </c>
      <c r="D131" s="19" t="s">
        <v>1875</v>
      </c>
      <c r="E131" s="19" t="s">
        <v>1876</v>
      </c>
      <c r="F131" s="19" t="s">
        <v>186</v>
      </c>
      <c r="G131" s="19" t="s">
        <v>1877</v>
      </c>
      <c r="H131" s="19" t="s">
        <v>1878</v>
      </c>
      <c r="I131" s="19" t="s">
        <v>1879</v>
      </c>
      <c r="J131" s="19" t="s">
        <v>1880</v>
      </c>
      <c r="K131" s="19" t="s">
        <v>326</v>
      </c>
      <c r="L131" s="19" t="s">
        <v>1881</v>
      </c>
      <c r="M131" s="18" t="s">
        <v>619</v>
      </c>
      <c r="N131" s="18" t="s">
        <v>678</v>
      </c>
      <c r="O131" s="19" t="s">
        <v>1882</v>
      </c>
      <c r="P131" s="19" t="s">
        <v>1883</v>
      </c>
      <c r="Q131" s="19" t="s">
        <v>1884</v>
      </c>
      <c r="R131" s="18" t="s">
        <v>499</v>
      </c>
      <c r="S131" s="18">
        <f>COUNTIF('Criterios GWT'!B:B,A131)</f>
        <v>2</v>
      </c>
    </row>
    <row r="132" spans="1:19" ht="81" hidden="1" customHeight="1" x14ac:dyDescent="0.25">
      <c r="A132" s="16" t="s">
        <v>1885</v>
      </c>
      <c r="B132" s="17" t="s">
        <v>1838</v>
      </c>
      <c r="C132" s="17" t="s">
        <v>162</v>
      </c>
      <c r="D132" s="17" t="s">
        <v>1886</v>
      </c>
      <c r="E132" s="17" t="s">
        <v>1887</v>
      </c>
      <c r="F132" s="17" t="s">
        <v>186</v>
      </c>
      <c r="G132" s="17" t="s">
        <v>1888</v>
      </c>
      <c r="H132" s="17" t="s">
        <v>1866</v>
      </c>
      <c r="I132" s="17" t="s">
        <v>1889</v>
      </c>
      <c r="J132" s="17" t="s">
        <v>1890</v>
      </c>
      <c r="K132" s="17" t="s">
        <v>947</v>
      </c>
      <c r="L132" s="17" t="s">
        <v>1891</v>
      </c>
      <c r="M132" s="16" t="s">
        <v>495</v>
      </c>
      <c r="N132" s="16" t="s">
        <v>496</v>
      </c>
      <c r="O132" s="17" t="s">
        <v>1354</v>
      </c>
      <c r="P132" s="17" t="s">
        <v>1892</v>
      </c>
      <c r="Q132" s="17" t="s">
        <v>1038</v>
      </c>
      <c r="R132" s="16" t="s">
        <v>499</v>
      </c>
      <c r="S132" s="16">
        <f>COUNTIF('Criterios GWT'!B:B,A132)</f>
        <v>2</v>
      </c>
    </row>
    <row r="133" spans="1:19" ht="94.5" hidden="1" customHeight="1" x14ac:dyDescent="0.25">
      <c r="A133" s="18" t="s">
        <v>1893</v>
      </c>
      <c r="B133" s="19" t="s">
        <v>1894</v>
      </c>
      <c r="C133" s="19" t="s">
        <v>109</v>
      </c>
      <c r="D133" s="19" t="s">
        <v>1895</v>
      </c>
      <c r="E133" s="19" t="s">
        <v>1896</v>
      </c>
      <c r="F133" s="19" t="s">
        <v>180</v>
      </c>
      <c r="G133" s="19" t="s">
        <v>1897</v>
      </c>
      <c r="H133" s="19" t="s">
        <v>1898</v>
      </c>
      <c r="I133" s="19" t="s">
        <v>1899</v>
      </c>
      <c r="J133" s="19" t="s">
        <v>1900</v>
      </c>
      <c r="K133" s="19" t="s">
        <v>1901</v>
      </c>
      <c r="L133" s="19" t="s">
        <v>1902</v>
      </c>
      <c r="M133" s="18" t="s">
        <v>495</v>
      </c>
      <c r="N133" s="18" t="s">
        <v>678</v>
      </c>
      <c r="O133" s="19" t="s">
        <v>310</v>
      </c>
      <c r="P133" s="19" t="s">
        <v>1903</v>
      </c>
      <c r="Q133" s="19" t="s">
        <v>1904</v>
      </c>
      <c r="R133" s="18" t="s">
        <v>499</v>
      </c>
      <c r="S133" s="18">
        <f>COUNTIF('Criterios GWT'!B:B,A133)</f>
        <v>2</v>
      </c>
    </row>
    <row r="134" spans="1:19" ht="94.5" hidden="1" customHeight="1" x14ac:dyDescent="0.25">
      <c r="A134" s="16" t="s">
        <v>1905</v>
      </c>
      <c r="B134" s="17" t="s">
        <v>1894</v>
      </c>
      <c r="C134" s="17" t="s">
        <v>122</v>
      </c>
      <c r="D134" s="17" t="s">
        <v>1906</v>
      </c>
      <c r="E134" s="17" t="s">
        <v>1907</v>
      </c>
      <c r="F134" s="17" t="s">
        <v>215</v>
      </c>
      <c r="G134" s="17" t="s">
        <v>1908</v>
      </c>
      <c r="H134" s="17" t="s">
        <v>1909</v>
      </c>
      <c r="I134" s="17" t="s">
        <v>1910</v>
      </c>
      <c r="J134" s="17" t="s">
        <v>1911</v>
      </c>
      <c r="K134" s="17" t="s">
        <v>459</v>
      </c>
      <c r="L134" s="17" t="s">
        <v>1912</v>
      </c>
      <c r="M134" s="16" t="s">
        <v>495</v>
      </c>
      <c r="N134" s="16" t="s">
        <v>678</v>
      </c>
      <c r="O134" s="17" t="s">
        <v>310</v>
      </c>
      <c r="P134" s="17" t="s">
        <v>1913</v>
      </c>
      <c r="Q134" s="17" t="s">
        <v>1914</v>
      </c>
      <c r="R134" s="16" t="s">
        <v>499</v>
      </c>
      <c r="S134" s="16">
        <f>COUNTIF('Criterios GWT'!B:B,A134)</f>
        <v>3</v>
      </c>
    </row>
    <row r="135" spans="1:19" ht="94.5" hidden="1" customHeight="1" x14ac:dyDescent="0.25">
      <c r="A135" s="18" t="s">
        <v>1915</v>
      </c>
      <c r="B135" s="19" t="s">
        <v>1894</v>
      </c>
      <c r="C135" s="19" t="s">
        <v>109</v>
      </c>
      <c r="D135" s="19" t="s">
        <v>1916</v>
      </c>
      <c r="E135" s="19" t="s">
        <v>1917</v>
      </c>
      <c r="F135" s="19" t="s">
        <v>1918</v>
      </c>
      <c r="G135" s="19" t="s">
        <v>1919</v>
      </c>
      <c r="H135" s="19" t="s">
        <v>1920</v>
      </c>
      <c r="I135" s="19" t="s">
        <v>1921</v>
      </c>
      <c r="J135" s="19" t="s">
        <v>1922</v>
      </c>
      <c r="K135" s="19" t="s">
        <v>1923</v>
      </c>
      <c r="L135" s="19" t="s">
        <v>1924</v>
      </c>
      <c r="M135" s="18" t="s">
        <v>619</v>
      </c>
      <c r="N135" s="18" t="s">
        <v>678</v>
      </c>
      <c r="O135" s="19" t="s">
        <v>310</v>
      </c>
      <c r="P135" s="19" t="s">
        <v>1925</v>
      </c>
      <c r="Q135" s="19" t="s">
        <v>1926</v>
      </c>
      <c r="R135" s="18" t="s">
        <v>499</v>
      </c>
      <c r="S135" s="18">
        <f>COUNTIF('Criterios GWT'!B:B,A135)</f>
        <v>3</v>
      </c>
    </row>
    <row r="136" spans="1:19" ht="135" hidden="1" customHeight="1" x14ac:dyDescent="0.25">
      <c r="A136" s="16" t="s">
        <v>1927</v>
      </c>
      <c r="B136" s="17" t="s">
        <v>1894</v>
      </c>
      <c r="C136" s="17" t="s">
        <v>122</v>
      </c>
      <c r="D136" s="17" t="s">
        <v>1928</v>
      </c>
      <c r="E136" s="17" t="s">
        <v>1929</v>
      </c>
      <c r="F136" s="17" t="s">
        <v>1930</v>
      </c>
      <c r="G136" s="17" t="s">
        <v>1931</v>
      </c>
      <c r="H136" s="17" t="s">
        <v>1932</v>
      </c>
      <c r="I136" s="17" t="s">
        <v>1933</v>
      </c>
      <c r="J136" s="17" t="s">
        <v>1934</v>
      </c>
      <c r="K136" s="17" t="s">
        <v>1490</v>
      </c>
      <c r="L136" s="17" t="s">
        <v>1935</v>
      </c>
      <c r="M136" s="16" t="s">
        <v>619</v>
      </c>
      <c r="N136" s="16" t="s">
        <v>678</v>
      </c>
      <c r="O136" s="17" t="s">
        <v>310</v>
      </c>
      <c r="P136" s="17" t="s">
        <v>1936</v>
      </c>
      <c r="Q136" s="17" t="s">
        <v>1937</v>
      </c>
      <c r="R136" s="16" t="s">
        <v>499</v>
      </c>
      <c r="S136" s="16">
        <f>COUNTIF('Criterios GWT'!B:B,A136)</f>
        <v>3</v>
      </c>
    </row>
    <row r="137" spans="1:19" ht="81" hidden="1" customHeight="1" x14ac:dyDescent="0.25">
      <c r="A137" s="18" t="s">
        <v>1938</v>
      </c>
      <c r="B137" s="19" t="s">
        <v>1939</v>
      </c>
      <c r="C137" s="19" t="s">
        <v>169</v>
      </c>
      <c r="D137" s="19" t="s">
        <v>1940</v>
      </c>
      <c r="E137" s="19" t="s">
        <v>1941</v>
      </c>
      <c r="F137" s="19" t="s">
        <v>672</v>
      </c>
      <c r="G137" s="19" t="s">
        <v>1942</v>
      </c>
      <c r="H137" s="19" t="s">
        <v>1943</v>
      </c>
      <c r="I137" s="19" t="s">
        <v>1944</v>
      </c>
      <c r="J137" s="19" t="s">
        <v>1945</v>
      </c>
      <c r="K137" s="19" t="s">
        <v>1946</v>
      </c>
      <c r="L137" s="19" t="s">
        <v>1947</v>
      </c>
      <c r="M137" s="18" t="s">
        <v>495</v>
      </c>
      <c r="N137" s="18" t="s">
        <v>496</v>
      </c>
      <c r="O137" s="19" t="s">
        <v>1948</v>
      </c>
      <c r="P137" s="19" t="s">
        <v>1949</v>
      </c>
      <c r="Q137" s="19" t="s">
        <v>1950</v>
      </c>
      <c r="R137" s="18" t="s">
        <v>499</v>
      </c>
      <c r="S137" s="18">
        <f>COUNTIF('Criterios GWT'!B:B,A137)</f>
        <v>2</v>
      </c>
    </row>
    <row r="138" spans="1:19" ht="108" hidden="1" customHeight="1" x14ac:dyDescent="0.25">
      <c r="A138" s="16" t="s">
        <v>1951</v>
      </c>
      <c r="B138" s="17" t="s">
        <v>1939</v>
      </c>
      <c r="C138" s="17" t="s">
        <v>169</v>
      </c>
      <c r="D138" s="17" t="s">
        <v>1952</v>
      </c>
      <c r="E138" s="17" t="s">
        <v>1953</v>
      </c>
      <c r="F138" s="17" t="s">
        <v>742</v>
      </c>
      <c r="G138" s="17" t="s">
        <v>1954</v>
      </c>
      <c r="H138" s="17" t="s">
        <v>1955</v>
      </c>
      <c r="I138" s="17" t="s">
        <v>1956</v>
      </c>
      <c r="J138" s="17" t="s">
        <v>1957</v>
      </c>
      <c r="K138" s="17" t="s">
        <v>465</v>
      </c>
      <c r="L138" s="17" t="s">
        <v>1958</v>
      </c>
      <c r="M138" s="16" t="s">
        <v>495</v>
      </c>
      <c r="N138" s="16" t="s">
        <v>496</v>
      </c>
      <c r="O138" s="17" t="s">
        <v>1959</v>
      </c>
      <c r="P138" s="17" t="s">
        <v>1960</v>
      </c>
      <c r="Q138" s="17" t="s">
        <v>1961</v>
      </c>
      <c r="R138" s="16" t="s">
        <v>499</v>
      </c>
      <c r="S138" s="16">
        <f>COUNTIF('Criterios GWT'!B:B,A138)</f>
        <v>3</v>
      </c>
    </row>
    <row r="139" spans="1:19" ht="135" hidden="1" customHeight="1" x14ac:dyDescent="0.25">
      <c r="A139" s="18" t="s">
        <v>1962</v>
      </c>
      <c r="B139" s="19" t="s">
        <v>1939</v>
      </c>
      <c r="C139" s="19" t="s">
        <v>169</v>
      </c>
      <c r="D139" s="19" t="s">
        <v>1963</v>
      </c>
      <c r="E139" s="19" t="s">
        <v>1964</v>
      </c>
      <c r="F139" s="19" t="s">
        <v>742</v>
      </c>
      <c r="G139" s="19" t="s">
        <v>1965</v>
      </c>
      <c r="H139" s="19" t="s">
        <v>1966</v>
      </c>
      <c r="I139" s="19" t="s">
        <v>1967</v>
      </c>
      <c r="J139" s="19" t="s">
        <v>1968</v>
      </c>
      <c r="K139" s="19" t="s">
        <v>1969</v>
      </c>
      <c r="L139" s="19" t="s">
        <v>1970</v>
      </c>
      <c r="M139" s="18" t="s">
        <v>495</v>
      </c>
      <c r="N139" s="18" t="s">
        <v>496</v>
      </c>
      <c r="O139" s="19" t="s">
        <v>310</v>
      </c>
      <c r="P139" s="19" t="s">
        <v>1971</v>
      </c>
      <c r="Q139" s="19" t="s">
        <v>1972</v>
      </c>
      <c r="R139" s="18" t="s">
        <v>499</v>
      </c>
      <c r="S139" s="18">
        <f>COUNTIF('Criterios GWT'!B:B,A139)</f>
        <v>3</v>
      </c>
    </row>
    <row r="140" spans="1:19" ht="108" hidden="1" customHeight="1" x14ac:dyDescent="0.25">
      <c r="A140" s="16" t="s">
        <v>1973</v>
      </c>
      <c r="B140" s="17" t="s">
        <v>1939</v>
      </c>
      <c r="C140" s="17" t="s">
        <v>169</v>
      </c>
      <c r="D140" s="17" t="s">
        <v>1974</v>
      </c>
      <c r="E140" s="17" t="s">
        <v>1975</v>
      </c>
      <c r="F140" s="17" t="s">
        <v>196</v>
      </c>
      <c r="G140" s="17" t="s">
        <v>1976</v>
      </c>
      <c r="H140" s="17" t="s">
        <v>1977</v>
      </c>
      <c r="I140" s="17" t="s">
        <v>1978</v>
      </c>
      <c r="J140" s="17" t="s">
        <v>1979</v>
      </c>
      <c r="K140" s="17" t="s">
        <v>465</v>
      </c>
      <c r="L140" s="17" t="s">
        <v>1980</v>
      </c>
      <c r="M140" s="16" t="s">
        <v>619</v>
      </c>
      <c r="N140" s="16" t="s">
        <v>496</v>
      </c>
      <c r="O140" s="17" t="s">
        <v>1981</v>
      </c>
      <c r="P140" s="17" t="s">
        <v>1982</v>
      </c>
      <c r="Q140" s="17" t="s">
        <v>1983</v>
      </c>
      <c r="R140" s="16" t="s">
        <v>499</v>
      </c>
      <c r="S140" s="16">
        <f>COUNTIF('Criterios GWT'!B:B,A140)</f>
        <v>2</v>
      </c>
    </row>
    <row r="141" spans="1:19" ht="121.5" hidden="1" customHeight="1" x14ac:dyDescent="0.25">
      <c r="A141" s="18" t="s">
        <v>1984</v>
      </c>
      <c r="B141" s="19" t="s">
        <v>1939</v>
      </c>
      <c r="C141" s="19" t="s">
        <v>105</v>
      </c>
      <c r="D141" s="19" t="s">
        <v>1985</v>
      </c>
      <c r="E141" s="19" t="s">
        <v>1986</v>
      </c>
      <c r="F141" s="19" t="s">
        <v>1987</v>
      </c>
      <c r="G141" s="19" t="s">
        <v>1988</v>
      </c>
      <c r="H141" s="19" t="s">
        <v>1989</v>
      </c>
      <c r="I141" s="19" t="s">
        <v>1990</v>
      </c>
      <c r="J141" s="19" t="s">
        <v>1991</v>
      </c>
      <c r="K141" s="19" t="s">
        <v>465</v>
      </c>
      <c r="L141" s="19" t="s">
        <v>1992</v>
      </c>
      <c r="M141" s="18" t="s">
        <v>619</v>
      </c>
      <c r="N141" s="18" t="s">
        <v>678</v>
      </c>
      <c r="O141" s="19" t="s">
        <v>1993</v>
      </c>
      <c r="P141" s="19" t="s">
        <v>1994</v>
      </c>
      <c r="Q141" s="19" t="s">
        <v>1995</v>
      </c>
      <c r="R141" s="18" t="s">
        <v>499</v>
      </c>
      <c r="S141" s="18">
        <f>COUNTIF('Criterios GWT'!B:B,A141)</f>
        <v>3</v>
      </c>
    </row>
  </sheetData>
  <autoFilter ref="A3:S141" xr:uid="{00000000-0009-0000-0000-000006000000}">
    <filterColumn colId="1">
      <filters>
        <filter val="MOD-01 · Organización y suscripciones (TR-ORG)"/>
      </filters>
    </filterColumn>
  </autoFilter>
  <conditionalFormatting sqref="M4:M141">
    <cfRule type="cellIs" dxfId="2" priority="2" operator="equal">
      <formula>"Must"</formula>
    </cfRule>
  </conditionalFormatting>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2410C"/>
    <pageSetUpPr fitToPage="1"/>
  </sheetPr>
  <dimension ref="A1:J341"/>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7109375" defaultRowHeight="15" x14ac:dyDescent="0.25"/>
  <cols>
    <col min="1" max="2" width="13" customWidth="1"/>
    <col min="3" max="4" width="28" customWidth="1"/>
    <col min="5" max="5" width="10" customWidth="1"/>
    <col min="6" max="6" width="42" customWidth="1"/>
    <col min="7" max="7" width="36" customWidth="1"/>
    <col min="8" max="8" width="46" customWidth="1"/>
    <col min="9" max="9" width="12" customWidth="1"/>
    <col min="10" max="10" width="26" customWidth="1"/>
  </cols>
  <sheetData>
    <row r="1" spans="1:10" ht="18" x14ac:dyDescent="0.25">
      <c r="A1" s="9" t="s">
        <v>1996</v>
      </c>
    </row>
    <row r="2" spans="1:10" x14ac:dyDescent="0.25">
      <c r="A2" s="10" t="s">
        <v>1997</v>
      </c>
    </row>
    <row r="3" spans="1:10" ht="27.75" customHeight="1" x14ac:dyDescent="0.25">
      <c r="A3" s="11" t="s">
        <v>66</v>
      </c>
      <c r="B3" s="11" t="s">
        <v>34</v>
      </c>
      <c r="C3" s="11" t="s">
        <v>1998</v>
      </c>
      <c r="D3" s="11" t="s">
        <v>1999</v>
      </c>
      <c r="E3" s="11" t="s">
        <v>68</v>
      </c>
      <c r="F3" s="11" t="s">
        <v>2000</v>
      </c>
      <c r="G3" s="11" t="s">
        <v>2001</v>
      </c>
      <c r="H3" s="11" t="s">
        <v>2002</v>
      </c>
      <c r="I3" s="11" t="s">
        <v>2003</v>
      </c>
      <c r="J3" s="11" t="s">
        <v>2004</v>
      </c>
    </row>
    <row r="4" spans="1:10" ht="40.5" customHeight="1" x14ac:dyDescent="0.25">
      <c r="A4" s="16" t="s">
        <v>2005</v>
      </c>
      <c r="B4" s="16" t="s">
        <v>485</v>
      </c>
      <c r="C4" s="17" t="s">
        <v>487</v>
      </c>
      <c r="D4" s="17" t="s">
        <v>2006</v>
      </c>
      <c r="E4" s="16" t="s">
        <v>2007</v>
      </c>
      <c r="F4" s="17" t="s">
        <v>2008</v>
      </c>
      <c r="G4" s="17" t="s">
        <v>2009</v>
      </c>
      <c r="H4" s="17" t="s">
        <v>2010</v>
      </c>
      <c r="I4" s="20" t="s">
        <v>2011</v>
      </c>
      <c r="J4" s="21"/>
    </row>
    <row r="5" spans="1:10" ht="40.5" customHeight="1" x14ac:dyDescent="0.25">
      <c r="A5" s="18" t="s">
        <v>2012</v>
      </c>
      <c r="B5" s="18" t="s">
        <v>485</v>
      </c>
      <c r="C5" s="19" t="s">
        <v>487</v>
      </c>
      <c r="D5" s="19" t="s">
        <v>2013</v>
      </c>
      <c r="E5" s="18" t="s">
        <v>2014</v>
      </c>
      <c r="F5" s="19" t="s">
        <v>2015</v>
      </c>
      <c r="G5" s="19" t="s">
        <v>2016</v>
      </c>
      <c r="H5" s="19" t="s">
        <v>2017</v>
      </c>
      <c r="I5" s="20" t="s">
        <v>2011</v>
      </c>
      <c r="J5" s="21"/>
    </row>
    <row r="6" spans="1:10" ht="27" customHeight="1" x14ac:dyDescent="0.25">
      <c r="A6" s="16" t="s">
        <v>2018</v>
      </c>
      <c r="B6" s="16" t="s">
        <v>485</v>
      </c>
      <c r="C6" s="17" t="s">
        <v>487</v>
      </c>
      <c r="D6" s="17" t="s">
        <v>2019</v>
      </c>
      <c r="E6" s="16" t="s">
        <v>2014</v>
      </c>
      <c r="F6" s="17" t="s">
        <v>2020</v>
      </c>
      <c r="G6" s="17" t="s">
        <v>2021</v>
      </c>
      <c r="H6" s="17" t="s">
        <v>2022</v>
      </c>
      <c r="I6" s="20" t="s">
        <v>2011</v>
      </c>
      <c r="J6" s="21"/>
    </row>
    <row r="7" spans="1:10" ht="27" customHeight="1" x14ac:dyDescent="0.25">
      <c r="A7" s="18" t="s">
        <v>2023</v>
      </c>
      <c r="B7" s="18" t="s">
        <v>500</v>
      </c>
      <c r="C7" s="19" t="s">
        <v>501</v>
      </c>
      <c r="D7" s="19" t="s">
        <v>2024</v>
      </c>
      <c r="E7" s="18" t="s">
        <v>2007</v>
      </c>
      <c r="F7" s="19" t="s">
        <v>2025</v>
      </c>
      <c r="G7" s="19" t="s">
        <v>2026</v>
      </c>
      <c r="H7" s="19" t="s">
        <v>2027</v>
      </c>
      <c r="I7" s="20" t="s">
        <v>2011</v>
      </c>
      <c r="J7" s="21"/>
    </row>
    <row r="8" spans="1:10" ht="27" customHeight="1" x14ac:dyDescent="0.25">
      <c r="A8" s="16" t="s">
        <v>2028</v>
      </c>
      <c r="B8" s="16" t="s">
        <v>500</v>
      </c>
      <c r="C8" s="17" t="s">
        <v>501</v>
      </c>
      <c r="D8" s="17" t="s">
        <v>2029</v>
      </c>
      <c r="E8" s="16" t="s">
        <v>2014</v>
      </c>
      <c r="F8" s="17" t="s">
        <v>2030</v>
      </c>
      <c r="G8" s="17" t="s">
        <v>2031</v>
      </c>
      <c r="H8" s="17" t="s">
        <v>2032</v>
      </c>
      <c r="I8" s="20" t="s">
        <v>2011</v>
      </c>
      <c r="J8" s="21"/>
    </row>
    <row r="9" spans="1:10" ht="40.5" customHeight="1" x14ac:dyDescent="0.25">
      <c r="A9" s="18" t="s">
        <v>2033</v>
      </c>
      <c r="B9" s="18" t="s">
        <v>500</v>
      </c>
      <c r="C9" s="19" t="s">
        <v>501</v>
      </c>
      <c r="D9" s="19" t="s">
        <v>2034</v>
      </c>
      <c r="E9" s="18" t="s">
        <v>2035</v>
      </c>
      <c r="F9" s="19" t="s">
        <v>2036</v>
      </c>
      <c r="G9" s="19" t="s">
        <v>2037</v>
      </c>
      <c r="H9" s="19" t="s">
        <v>2038</v>
      </c>
      <c r="I9" s="20" t="s">
        <v>2011</v>
      </c>
      <c r="J9" s="21"/>
    </row>
    <row r="10" spans="1:10" ht="27" customHeight="1" x14ac:dyDescent="0.25">
      <c r="A10" s="16" t="s">
        <v>2039</v>
      </c>
      <c r="B10" s="16" t="s">
        <v>512</v>
      </c>
      <c r="C10" s="17" t="s">
        <v>513</v>
      </c>
      <c r="D10" s="17" t="s">
        <v>2040</v>
      </c>
      <c r="E10" s="16" t="s">
        <v>2007</v>
      </c>
      <c r="F10" s="17" t="s">
        <v>2041</v>
      </c>
      <c r="G10" s="17" t="s">
        <v>2042</v>
      </c>
      <c r="H10" s="17" t="s">
        <v>2043</v>
      </c>
      <c r="I10" s="20" t="s">
        <v>2011</v>
      </c>
      <c r="J10" s="21"/>
    </row>
    <row r="11" spans="1:10" ht="40.5" customHeight="1" x14ac:dyDescent="0.25">
      <c r="A11" s="18" t="s">
        <v>2044</v>
      </c>
      <c r="B11" s="18" t="s">
        <v>512</v>
      </c>
      <c r="C11" s="19" t="s">
        <v>513</v>
      </c>
      <c r="D11" s="19" t="s">
        <v>2045</v>
      </c>
      <c r="E11" s="18" t="s">
        <v>2014</v>
      </c>
      <c r="F11" s="19" t="s">
        <v>2046</v>
      </c>
      <c r="G11" s="19" t="s">
        <v>2047</v>
      </c>
      <c r="H11" s="19" t="s">
        <v>2048</v>
      </c>
      <c r="I11" s="20" t="s">
        <v>2011</v>
      </c>
      <c r="J11" s="21"/>
    </row>
    <row r="12" spans="1:10" ht="40.5" customHeight="1" x14ac:dyDescent="0.25">
      <c r="A12" s="16" t="s">
        <v>2049</v>
      </c>
      <c r="B12" s="16" t="s">
        <v>512</v>
      </c>
      <c r="C12" s="17" t="s">
        <v>513</v>
      </c>
      <c r="D12" s="17" t="s">
        <v>2050</v>
      </c>
      <c r="E12" s="16" t="s">
        <v>2035</v>
      </c>
      <c r="F12" s="17" t="s">
        <v>2051</v>
      </c>
      <c r="G12" s="17" t="s">
        <v>2052</v>
      </c>
      <c r="H12" s="17" t="s">
        <v>2053</v>
      </c>
      <c r="I12" s="20" t="s">
        <v>2011</v>
      </c>
      <c r="J12" s="21"/>
    </row>
    <row r="13" spans="1:10" ht="27" customHeight="1" x14ac:dyDescent="0.25">
      <c r="A13" s="18" t="s">
        <v>2054</v>
      </c>
      <c r="B13" s="18" t="s">
        <v>523</v>
      </c>
      <c r="C13" s="19" t="s">
        <v>524</v>
      </c>
      <c r="D13" s="19" t="s">
        <v>2055</v>
      </c>
      <c r="E13" s="18" t="s">
        <v>2007</v>
      </c>
      <c r="F13" s="19" t="s">
        <v>2056</v>
      </c>
      <c r="G13" s="19" t="s">
        <v>2057</v>
      </c>
      <c r="H13" s="19" t="s">
        <v>2058</v>
      </c>
      <c r="I13" s="20" t="s">
        <v>2011</v>
      </c>
      <c r="J13" s="21"/>
    </row>
    <row r="14" spans="1:10" ht="27" customHeight="1" x14ac:dyDescent="0.25">
      <c r="A14" s="16" t="s">
        <v>2059</v>
      </c>
      <c r="B14" s="16" t="s">
        <v>523</v>
      </c>
      <c r="C14" s="17" t="s">
        <v>524</v>
      </c>
      <c r="D14" s="17" t="s">
        <v>2060</v>
      </c>
      <c r="E14" s="16" t="s">
        <v>2014</v>
      </c>
      <c r="F14" s="17" t="s">
        <v>2061</v>
      </c>
      <c r="G14" s="17" t="s">
        <v>2062</v>
      </c>
      <c r="H14" s="17" t="s">
        <v>2063</v>
      </c>
      <c r="I14" s="20" t="s">
        <v>2011</v>
      </c>
      <c r="J14" s="21"/>
    </row>
    <row r="15" spans="1:10" ht="27" customHeight="1" x14ac:dyDescent="0.25">
      <c r="A15" s="18" t="s">
        <v>2064</v>
      </c>
      <c r="B15" s="18" t="s">
        <v>523</v>
      </c>
      <c r="C15" s="19" t="s">
        <v>524</v>
      </c>
      <c r="D15" s="19" t="s">
        <v>2065</v>
      </c>
      <c r="E15" s="18" t="s">
        <v>2035</v>
      </c>
      <c r="F15" s="19" t="s">
        <v>2066</v>
      </c>
      <c r="G15" s="19" t="s">
        <v>2067</v>
      </c>
      <c r="H15" s="19" t="s">
        <v>2068</v>
      </c>
      <c r="I15" s="20" t="s">
        <v>2011</v>
      </c>
      <c r="J15" s="21"/>
    </row>
    <row r="16" spans="1:10" ht="27" customHeight="1" x14ac:dyDescent="0.25">
      <c r="A16" s="16" t="s">
        <v>2069</v>
      </c>
      <c r="B16" s="16" t="s">
        <v>533</v>
      </c>
      <c r="C16" s="17" t="s">
        <v>534</v>
      </c>
      <c r="D16" s="17" t="s">
        <v>2070</v>
      </c>
      <c r="E16" s="16" t="s">
        <v>2007</v>
      </c>
      <c r="F16" s="17" t="s">
        <v>2071</v>
      </c>
      <c r="G16" s="17" t="s">
        <v>2072</v>
      </c>
      <c r="H16" s="17" t="s">
        <v>2073</v>
      </c>
      <c r="I16" s="20" t="s">
        <v>2011</v>
      </c>
      <c r="J16" s="21"/>
    </row>
    <row r="17" spans="1:10" ht="27" customHeight="1" x14ac:dyDescent="0.25">
      <c r="A17" s="18" t="s">
        <v>2074</v>
      </c>
      <c r="B17" s="18" t="s">
        <v>533</v>
      </c>
      <c r="C17" s="19" t="s">
        <v>534</v>
      </c>
      <c r="D17" s="19" t="s">
        <v>2075</v>
      </c>
      <c r="E17" s="18" t="s">
        <v>2014</v>
      </c>
      <c r="F17" s="19" t="s">
        <v>2076</v>
      </c>
      <c r="G17" s="19" t="s">
        <v>2077</v>
      </c>
      <c r="H17" s="19" t="s">
        <v>2078</v>
      </c>
      <c r="I17" s="20" t="s">
        <v>2011</v>
      </c>
      <c r="J17" s="21"/>
    </row>
    <row r="18" spans="1:10" ht="27" customHeight="1" x14ac:dyDescent="0.25">
      <c r="A18" s="16" t="s">
        <v>2079</v>
      </c>
      <c r="B18" s="16" t="s">
        <v>533</v>
      </c>
      <c r="C18" s="17" t="s">
        <v>534</v>
      </c>
      <c r="D18" s="17" t="s">
        <v>2080</v>
      </c>
      <c r="E18" s="16" t="s">
        <v>2007</v>
      </c>
      <c r="F18" s="17" t="s">
        <v>2081</v>
      </c>
      <c r="G18" s="17" t="s">
        <v>2082</v>
      </c>
      <c r="H18" s="17" t="s">
        <v>2083</v>
      </c>
      <c r="I18" s="20" t="s">
        <v>2011</v>
      </c>
      <c r="J18" s="21"/>
    </row>
    <row r="19" spans="1:10" ht="40.5" customHeight="1" x14ac:dyDescent="0.25">
      <c r="A19" s="18" t="s">
        <v>2084</v>
      </c>
      <c r="B19" s="18" t="s">
        <v>544</v>
      </c>
      <c r="C19" s="19" t="s">
        <v>545</v>
      </c>
      <c r="D19" s="19" t="s">
        <v>2085</v>
      </c>
      <c r="E19" s="18" t="s">
        <v>2007</v>
      </c>
      <c r="F19" s="19" t="s">
        <v>2086</v>
      </c>
      <c r="G19" s="19" t="s">
        <v>2087</v>
      </c>
      <c r="H19" s="19" t="s">
        <v>2088</v>
      </c>
      <c r="I19" s="20" t="s">
        <v>2011</v>
      </c>
      <c r="J19" s="21"/>
    </row>
    <row r="20" spans="1:10" ht="40.5" customHeight="1" x14ac:dyDescent="0.25">
      <c r="A20" s="16" t="s">
        <v>2089</v>
      </c>
      <c r="B20" s="16" t="s">
        <v>544</v>
      </c>
      <c r="C20" s="17" t="s">
        <v>545</v>
      </c>
      <c r="D20" s="17" t="s">
        <v>2090</v>
      </c>
      <c r="E20" s="16" t="s">
        <v>2014</v>
      </c>
      <c r="F20" s="17" t="s">
        <v>2091</v>
      </c>
      <c r="G20" s="17" t="s">
        <v>2092</v>
      </c>
      <c r="H20" s="17" t="s">
        <v>2093</v>
      </c>
      <c r="I20" s="20" t="s">
        <v>2011</v>
      </c>
      <c r="J20" s="21"/>
    </row>
    <row r="21" spans="1:10" ht="27" customHeight="1" x14ac:dyDescent="0.25">
      <c r="A21" s="18" t="s">
        <v>2094</v>
      </c>
      <c r="B21" s="18" t="s">
        <v>544</v>
      </c>
      <c r="C21" s="19" t="s">
        <v>545</v>
      </c>
      <c r="D21" s="19" t="s">
        <v>2095</v>
      </c>
      <c r="E21" s="18" t="s">
        <v>2014</v>
      </c>
      <c r="F21" s="19" t="s">
        <v>2096</v>
      </c>
      <c r="G21" s="19" t="s">
        <v>2097</v>
      </c>
      <c r="H21" s="19" t="s">
        <v>2098</v>
      </c>
      <c r="I21" s="20" t="s">
        <v>2011</v>
      </c>
      <c r="J21" s="21"/>
    </row>
    <row r="22" spans="1:10" ht="27" customHeight="1" x14ac:dyDescent="0.25">
      <c r="A22" s="16" t="s">
        <v>2099</v>
      </c>
      <c r="B22" s="16" t="s">
        <v>555</v>
      </c>
      <c r="C22" s="17" t="s">
        <v>556</v>
      </c>
      <c r="D22" s="17" t="s">
        <v>2100</v>
      </c>
      <c r="E22" s="16" t="s">
        <v>2007</v>
      </c>
      <c r="F22" s="17" t="s">
        <v>2101</v>
      </c>
      <c r="G22" s="17" t="s">
        <v>2102</v>
      </c>
      <c r="H22" s="17" t="s">
        <v>2103</v>
      </c>
      <c r="I22" s="20" t="s">
        <v>2011</v>
      </c>
      <c r="J22" s="21"/>
    </row>
    <row r="23" spans="1:10" ht="27" customHeight="1" x14ac:dyDescent="0.25">
      <c r="A23" s="18" t="s">
        <v>2104</v>
      </c>
      <c r="B23" s="18" t="s">
        <v>555</v>
      </c>
      <c r="C23" s="19" t="s">
        <v>556</v>
      </c>
      <c r="D23" s="19" t="s">
        <v>2105</v>
      </c>
      <c r="E23" s="18" t="s">
        <v>2035</v>
      </c>
      <c r="F23" s="19" t="s">
        <v>2106</v>
      </c>
      <c r="G23" s="19" t="s">
        <v>2107</v>
      </c>
      <c r="H23" s="19" t="s">
        <v>2108</v>
      </c>
      <c r="I23" s="20" t="s">
        <v>2011</v>
      </c>
      <c r="J23" s="21"/>
    </row>
    <row r="24" spans="1:10" ht="27" customHeight="1" x14ac:dyDescent="0.25">
      <c r="A24" s="16" t="s">
        <v>2109</v>
      </c>
      <c r="B24" s="16" t="s">
        <v>555</v>
      </c>
      <c r="C24" s="17" t="s">
        <v>556</v>
      </c>
      <c r="D24" s="17" t="s">
        <v>2110</v>
      </c>
      <c r="E24" s="16" t="s">
        <v>2014</v>
      </c>
      <c r="F24" s="17" t="s">
        <v>2111</v>
      </c>
      <c r="G24" s="17" t="s">
        <v>2112</v>
      </c>
      <c r="H24" s="17" t="s">
        <v>2113</v>
      </c>
      <c r="I24" s="20" t="s">
        <v>2011</v>
      </c>
      <c r="J24" s="21"/>
    </row>
    <row r="25" spans="1:10" ht="40.5" customHeight="1" x14ac:dyDescent="0.25">
      <c r="A25" s="18" t="s">
        <v>2114</v>
      </c>
      <c r="B25" s="18" t="s">
        <v>566</v>
      </c>
      <c r="C25" s="19" t="s">
        <v>568</v>
      </c>
      <c r="D25" s="19" t="s">
        <v>2115</v>
      </c>
      <c r="E25" s="18" t="s">
        <v>2007</v>
      </c>
      <c r="F25" s="19" t="s">
        <v>2116</v>
      </c>
      <c r="G25" s="19" t="s">
        <v>2117</v>
      </c>
      <c r="H25" s="19" t="s">
        <v>2118</v>
      </c>
      <c r="I25" s="20" t="s">
        <v>2011</v>
      </c>
      <c r="J25" s="21"/>
    </row>
    <row r="26" spans="1:10" ht="27" customHeight="1" x14ac:dyDescent="0.25">
      <c r="A26" s="16" t="s">
        <v>2119</v>
      </c>
      <c r="B26" s="16" t="s">
        <v>566</v>
      </c>
      <c r="C26" s="17" t="s">
        <v>568</v>
      </c>
      <c r="D26" s="17" t="s">
        <v>2120</v>
      </c>
      <c r="E26" s="16" t="s">
        <v>2035</v>
      </c>
      <c r="F26" s="17" t="s">
        <v>2121</v>
      </c>
      <c r="G26" s="17" t="s">
        <v>2122</v>
      </c>
      <c r="H26" s="17" t="s">
        <v>2123</v>
      </c>
      <c r="I26" s="20" t="s">
        <v>2011</v>
      </c>
      <c r="J26" s="21"/>
    </row>
    <row r="27" spans="1:10" ht="40.5" customHeight="1" x14ac:dyDescent="0.25">
      <c r="A27" s="18" t="s">
        <v>2124</v>
      </c>
      <c r="B27" s="18" t="s">
        <v>566</v>
      </c>
      <c r="C27" s="19" t="s">
        <v>568</v>
      </c>
      <c r="D27" s="19" t="s">
        <v>2125</v>
      </c>
      <c r="E27" s="18" t="s">
        <v>2014</v>
      </c>
      <c r="F27" s="19" t="s">
        <v>2126</v>
      </c>
      <c r="G27" s="19" t="s">
        <v>2127</v>
      </c>
      <c r="H27" s="19" t="s">
        <v>2128</v>
      </c>
      <c r="I27" s="20" t="s">
        <v>2011</v>
      </c>
      <c r="J27" s="21"/>
    </row>
    <row r="28" spans="1:10" ht="40.5" customHeight="1" x14ac:dyDescent="0.25">
      <c r="A28" s="16" t="s">
        <v>2129</v>
      </c>
      <c r="B28" s="16" t="s">
        <v>579</v>
      </c>
      <c r="C28" s="17" t="s">
        <v>580</v>
      </c>
      <c r="D28" s="17" t="s">
        <v>2130</v>
      </c>
      <c r="E28" s="16" t="s">
        <v>2007</v>
      </c>
      <c r="F28" s="17" t="s">
        <v>2131</v>
      </c>
      <c r="G28" s="17" t="s">
        <v>2132</v>
      </c>
      <c r="H28" s="17" t="s">
        <v>2133</v>
      </c>
      <c r="I28" s="20" t="s">
        <v>2011</v>
      </c>
      <c r="J28" s="21"/>
    </row>
    <row r="29" spans="1:10" ht="27" customHeight="1" x14ac:dyDescent="0.25">
      <c r="A29" s="18" t="s">
        <v>2134</v>
      </c>
      <c r="B29" s="18" t="s">
        <v>579</v>
      </c>
      <c r="C29" s="19" t="s">
        <v>580</v>
      </c>
      <c r="D29" s="19" t="s">
        <v>2135</v>
      </c>
      <c r="E29" s="18" t="s">
        <v>2014</v>
      </c>
      <c r="F29" s="19" t="s">
        <v>2136</v>
      </c>
      <c r="G29" s="19" t="s">
        <v>2137</v>
      </c>
      <c r="H29" s="19" t="s">
        <v>2138</v>
      </c>
      <c r="I29" s="20" t="s">
        <v>2011</v>
      </c>
      <c r="J29" s="21"/>
    </row>
    <row r="30" spans="1:10" ht="27" customHeight="1" x14ac:dyDescent="0.25">
      <c r="A30" s="16" t="s">
        <v>2139</v>
      </c>
      <c r="B30" s="16" t="s">
        <v>579</v>
      </c>
      <c r="C30" s="17" t="s">
        <v>580</v>
      </c>
      <c r="D30" s="17" t="s">
        <v>2140</v>
      </c>
      <c r="E30" s="16" t="s">
        <v>2035</v>
      </c>
      <c r="F30" s="17" t="s">
        <v>2141</v>
      </c>
      <c r="G30" s="17" t="s">
        <v>2142</v>
      </c>
      <c r="H30" s="17" t="s">
        <v>2143</v>
      </c>
      <c r="I30" s="20" t="s">
        <v>2011</v>
      </c>
      <c r="J30" s="21"/>
    </row>
    <row r="31" spans="1:10" ht="27" customHeight="1" x14ac:dyDescent="0.25">
      <c r="A31" s="18" t="s">
        <v>2144</v>
      </c>
      <c r="B31" s="18" t="s">
        <v>590</v>
      </c>
      <c r="C31" s="19" t="s">
        <v>591</v>
      </c>
      <c r="D31" s="19" t="s">
        <v>2145</v>
      </c>
      <c r="E31" s="18" t="s">
        <v>2007</v>
      </c>
      <c r="F31" s="19" t="s">
        <v>2146</v>
      </c>
      <c r="G31" s="19" t="s">
        <v>2147</v>
      </c>
      <c r="H31" s="19" t="s">
        <v>2148</v>
      </c>
      <c r="I31" s="20" t="s">
        <v>2011</v>
      </c>
      <c r="J31" s="21"/>
    </row>
    <row r="32" spans="1:10" ht="27" customHeight="1" x14ac:dyDescent="0.25">
      <c r="A32" s="16" t="s">
        <v>2149</v>
      </c>
      <c r="B32" s="16" t="s">
        <v>590</v>
      </c>
      <c r="C32" s="17" t="s">
        <v>591</v>
      </c>
      <c r="D32" s="17" t="s">
        <v>2150</v>
      </c>
      <c r="E32" s="16" t="s">
        <v>2014</v>
      </c>
      <c r="F32" s="17" t="s">
        <v>2151</v>
      </c>
      <c r="G32" s="17" t="s">
        <v>2152</v>
      </c>
      <c r="H32" s="17" t="s">
        <v>2153</v>
      </c>
      <c r="I32" s="20" t="s">
        <v>2011</v>
      </c>
      <c r="J32" s="21"/>
    </row>
    <row r="33" spans="1:10" ht="27" customHeight="1" x14ac:dyDescent="0.25">
      <c r="A33" s="18" t="s">
        <v>2154</v>
      </c>
      <c r="B33" s="18" t="s">
        <v>590</v>
      </c>
      <c r="C33" s="19" t="s">
        <v>591</v>
      </c>
      <c r="D33" s="19" t="s">
        <v>2155</v>
      </c>
      <c r="E33" s="18" t="s">
        <v>2014</v>
      </c>
      <c r="F33" s="19" t="s">
        <v>2156</v>
      </c>
      <c r="G33" s="19" t="s">
        <v>2157</v>
      </c>
      <c r="H33" s="19" t="s">
        <v>2158</v>
      </c>
      <c r="I33" s="20" t="s">
        <v>2011</v>
      </c>
      <c r="J33" s="21"/>
    </row>
    <row r="34" spans="1:10" ht="27" customHeight="1" x14ac:dyDescent="0.25">
      <c r="A34" s="16" t="s">
        <v>2159</v>
      </c>
      <c r="B34" s="16" t="s">
        <v>601</v>
      </c>
      <c r="C34" s="17" t="s">
        <v>602</v>
      </c>
      <c r="D34" s="17" t="s">
        <v>2160</v>
      </c>
      <c r="E34" s="16" t="s">
        <v>2007</v>
      </c>
      <c r="F34" s="17" t="s">
        <v>2161</v>
      </c>
      <c r="G34" s="17" t="s">
        <v>2162</v>
      </c>
      <c r="H34" s="17" t="s">
        <v>2163</v>
      </c>
      <c r="I34" s="20" t="s">
        <v>2011</v>
      </c>
      <c r="J34" s="21"/>
    </row>
    <row r="35" spans="1:10" ht="27" customHeight="1" x14ac:dyDescent="0.25">
      <c r="A35" s="18" t="s">
        <v>2164</v>
      </c>
      <c r="B35" s="18" t="s">
        <v>601</v>
      </c>
      <c r="C35" s="19" t="s">
        <v>602</v>
      </c>
      <c r="D35" s="19" t="s">
        <v>2165</v>
      </c>
      <c r="E35" s="18" t="s">
        <v>2014</v>
      </c>
      <c r="F35" s="19" t="s">
        <v>2166</v>
      </c>
      <c r="G35" s="19" t="s">
        <v>2167</v>
      </c>
      <c r="H35" s="19" t="s">
        <v>2168</v>
      </c>
      <c r="I35" s="20" t="s">
        <v>2011</v>
      </c>
      <c r="J35" s="21"/>
    </row>
    <row r="36" spans="1:10" ht="40.5" customHeight="1" x14ac:dyDescent="0.25">
      <c r="A36" s="16" t="s">
        <v>2169</v>
      </c>
      <c r="B36" s="16" t="s">
        <v>601</v>
      </c>
      <c r="C36" s="17" t="s">
        <v>602</v>
      </c>
      <c r="D36" s="17" t="s">
        <v>2170</v>
      </c>
      <c r="E36" s="16" t="s">
        <v>2035</v>
      </c>
      <c r="F36" s="17" t="s">
        <v>2171</v>
      </c>
      <c r="G36" s="17" t="s">
        <v>2172</v>
      </c>
      <c r="H36" s="17" t="s">
        <v>2173</v>
      </c>
      <c r="I36" s="20" t="s">
        <v>2011</v>
      </c>
      <c r="J36" s="21"/>
    </row>
    <row r="37" spans="1:10" ht="40.5" customHeight="1" x14ac:dyDescent="0.25">
      <c r="A37" s="18" t="s">
        <v>2174</v>
      </c>
      <c r="B37" s="18" t="s">
        <v>611</v>
      </c>
      <c r="C37" s="19" t="s">
        <v>612</v>
      </c>
      <c r="D37" s="19" t="s">
        <v>2175</v>
      </c>
      <c r="E37" s="18" t="s">
        <v>2007</v>
      </c>
      <c r="F37" s="19" t="s">
        <v>2176</v>
      </c>
      <c r="G37" s="19" t="s">
        <v>2177</v>
      </c>
      <c r="H37" s="19" t="s">
        <v>2178</v>
      </c>
      <c r="I37" s="20" t="s">
        <v>2011</v>
      </c>
      <c r="J37" s="21"/>
    </row>
    <row r="38" spans="1:10" ht="27" customHeight="1" x14ac:dyDescent="0.25">
      <c r="A38" s="16" t="s">
        <v>2179</v>
      </c>
      <c r="B38" s="16" t="s">
        <v>611</v>
      </c>
      <c r="C38" s="17" t="s">
        <v>612</v>
      </c>
      <c r="D38" s="17" t="s">
        <v>2180</v>
      </c>
      <c r="E38" s="16" t="s">
        <v>2014</v>
      </c>
      <c r="F38" s="17" t="s">
        <v>2181</v>
      </c>
      <c r="G38" s="17" t="s">
        <v>2182</v>
      </c>
      <c r="H38" s="17" t="s">
        <v>2183</v>
      </c>
      <c r="I38" s="20" t="s">
        <v>2011</v>
      </c>
      <c r="J38" s="21"/>
    </row>
    <row r="39" spans="1:10" ht="40.5" customHeight="1" x14ac:dyDescent="0.25">
      <c r="A39" s="18" t="s">
        <v>2184</v>
      </c>
      <c r="B39" s="18" t="s">
        <v>621</v>
      </c>
      <c r="C39" s="19" t="s">
        <v>622</v>
      </c>
      <c r="D39" s="19" t="s">
        <v>2185</v>
      </c>
      <c r="E39" s="18" t="s">
        <v>2007</v>
      </c>
      <c r="F39" s="19" t="s">
        <v>2186</v>
      </c>
      <c r="G39" s="19" t="s">
        <v>2187</v>
      </c>
      <c r="H39" s="19" t="s">
        <v>2188</v>
      </c>
      <c r="I39" s="20" t="s">
        <v>2011</v>
      </c>
      <c r="J39" s="21"/>
    </row>
    <row r="40" spans="1:10" ht="27" customHeight="1" x14ac:dyDescent="0.25">
      <c r="A40" s="16" t="s">
        <v>2189</v>
      </c>
      <c r="B40" s="16" t="s">
        <v>621</v>
      </c>
      <c r="C40" s="17" t="s">
        <v>622</v>
      </c>
      <c r="D40" s="17" t="s">
        <v>2190</v>
      </c>
      <c r="E40" s="16" t="s">
        <v>2014</v>
      </c>
      <c r="F40" s="17" t="s">
        <v>2191</v>
      </c>
      <c r="G40" s="17" t="s">
        <v>2192</v>
      </c>
      <c r="H40" s="17" t="s">
        <v>2193</v>
      </c>
      <c r="I40" s="20" t="s">
        <v>2011</v>
      </c>
      <c r="J40" s="21"/>
    </row>
    <row r="41" spans="1:10" ht="27" customHeight="1" x14ac:dyDescent="0.25">
      <c r="A41" s="18" t="s">
        <v>2194</v>
      </c>
      <c r="B41" s="18" t="s">
        <v>621</v>
      </c>
      <c r="C41" s="19" t="s">
        <v>622</v>
      </c>
      <c r="D41" s="19" t="s">
        <v>2195</v>
      </c>
      <c r="E41" s="18" t="s">
        <v>2035</v>
      </c>
      <c r="F41" s="19" t="s">
        <v>2196</v>
      </c>
      <c r="G41" s="19" t="s">
        <v>2197</v>
      </c>
      <c r="H41" s="19" t="s">
        <v>2198</v>
      </c>
      <c r="I41" s="20" t="s">
        <v>2011</v>
      </c>
      <c r="J41" s="21"/>
    </row>
    <row r="42" spans="1:10" ht="27" customHeight="1" x14ac:dyDescent="0.25">
      <c r="A42" s="16" t="s">
        <v>2199</v>
      </c>
      <c r="B42" s="16" t="s">
        <v>632</v>
      </c>
      <c r="C42" s="17" t="s">
        <v>633</v>
      </c>
      <c r="D42" s="17" t="s">
        <v>2200</v>
      </c>
      <c r="E42" s="16" t="s">
        <v>2007</v>
      </c>
      <c r="F42" s="17" t="s">
        <v>2201</v>
      </c>
      <c r="G42" s="17" t="s">
        <v>2202</v>
      </c>
      <c r="H42" s="17" t="s">
        <v>2203</v>
      </c>
      <c r="I42" s="20" t="s">
        <v>2011</v>
      </c>
      <c r="J42" s="21"/>
    </row>
    <row r="43" spans="1:10" ht="27" customHeight="1" x14ac:dyDescent="0.25">
      <c r="A43" s="18" t="s">
        <v>2204</v>
      </c>
      <c r="B43" s="18" t="s">
        <v>632</v>
      </c>
      <c r="C43" s="19" t="s">
        <v>633</v>
      </c>
      <c r="D43" s="19" t="s">
        <v>2205</v>
      </c>
      <c r="E43" s="18" t="s">
        <v>2014</v>
      </c>
      <c r="F43" s="19" t="s">
        <v>2206</v>
      </c>
      <c r="G43" s="19" t="s">
        <v>2207</v>
      </c>
      <c r="H43" s="19" t="s">
        <v>2208</v>
      </c>
      <c r="I43" s="20" t="s">
        <v>2011</v>
      </c>
      <c r="J43" s="21"/>
    </row>
    <row r="44" spans="1:10" ht="27" customHeight="1" x14ac:dyDescent="0.25">
      <c r="A44" s="16" t="s">
        <v>2209</v>
      </c>
      <c r="B44" s="16" t="s">
        <v>641</v>
      </c>
      <c r="C44" s="17" t="s">
        <v>642</v>
      </c>
      <c r="D44" s="17" t="s">
        <v>2210</v>
      </c>
      <c r="E44" s="16" t="s">
        <v>2007</v>
      </c>
      <c r="F44" s="17" t="s">
        <v>2211</v>
      </c>
      <c r="G44" s="17" t="s">
        <v>2212</v>
      </c>
      <c r="H44" s="17" t="s">
        <v>2213</v>
      </c>
      <c r="I44" s="20" t="s">
        <v>2011</v>
      </c>
      <c r="J44" s="21"/>
    </row>
    <row r="45" spans="1:10" ht="27" customHeight="1" x14ac:dyDescent="0.25">
      <c r="A45" s="18" t="s">
        <v>2214</v>
      </c>
      <c r="B45" s="18" t="s">
        <v>641</v>
      </c>
      <c r="C45" s="19" t="s">
        <v>642</v>
      </c>
      <c r="D45" s="19" t="s">
        <v>2215</v>
      </c>
      <c r="E45" s="18" t="s">
        <v>2014</v>
      </c>
      <c r="F45" s="19" t="s">
        <v>2216</v>
      </c>
      <c r="G45" s="19" t="s">
        <v>2217</v>
      </c>
      <c r="H45" s="19" t="s">
        <v>2218</v>
      </c>
      <c r="I45" s="20" t="s">
        <v>2011</v>
      </c>
      <c r="J45" s="21"/>
    </row>
    <row r="46" spans="1:10" ht="27" customHeight="1" x14ac:dyDescent="0.25">
      <c r="A46" s="16" t="s">
        <v>2219</v>
      </c>
      <c r="B46" s="16" t="s">
        <v>641</v>
      </c>
      <c r="C46" s="17" t="s">
        <v>642</v>
      </c>
      <c r="D46" s="17" t="s">
        <v>2220</v>
      </c>
      <c r="E46" s="16" t="s">
        <v>2035</v>
      </c>
      <c r="F46" s="17" t="s">
        <v>2221</v>
      </c>
      <c r="G46" s="17" t="s">
        <v>2222</v>
      </c>
      <c r="H46" s="17" t="s">
        <v>2223</v>
      </c>
      <c r="I46" s="20" t="s">
        <v>2011</v>
      </c>
      <c r="J46" s="21"/>
    </row>
    <row r="47" spans="1:10" ht="27" customHeight="1" x14ac:dyDescent="0.25">
      <c r="A47" s="18" t="s">
        <v>2224</v>
      </c>
      <c r="B47" s="18" t="s">
        <v>652</v>
      </c>
      <c r="C47" s="19" t="s">
        <v>653</v>
      </c>
      <c r="D47" s="19" t="s">
        <v>2225</v>
      </c>
      <c r="E47" s="18" t="s">
        <v>2007</v>
      </c>
      <c r="F47" s="19" t="s">
        <v>2226</v>
      </c>
      <c r="G47" s="19" t="s">
        <v>2227</v>
      </c>
      <c r="H47" s="19" t="s">
        <v>2228</v>
      </c>
      <c r="I47" s="20" t="s">
        <v>2011</v>
      </c>
      <c r="J47" s="21"/>
    </row>
    <row r="48" spans="1:10" ht="27" customHeight="1" x14ac:dyDescent="0.25">
      <c r="A48" s="16" t="s">
        <v>2229</v>
      </c>
      <c r="B48" s="16" t="s">
        <v>652</v>
      </c>
      <c r="C48" s="17" t="s">
        <v>653</v>
      </c>
      <c r="D48" s="17" t="s">
        <v>2230</v>
      </c>
      <c r="E48" s="16" t="s">
        <v>2007</v>
      </c>
      <c r="F48" s="17" t="s">
        <v>2231</v>
      </c>
      <c r="G48" s="17" t="s">
        <v>2232</v>
      </c>
      <c r="H48" s="17" t="s">
        <v>2233</v>
      </c>
      <c r="I48" s="20" t="s">
        <v>2011</v>
      </c>
      <c r="J48" s="21"/>
    </row>
    <row r="49" spans="1:10" ht="27" customHeight="1" x14ac:dyDescent="0.25">
      <c r="A49" s="18" t="s">
        <v>2234</v>
      </c>
      <c r="B49" s="18" t="s">
        <v>652</v>
      </c>
      <c r="C49" s="19" t="s">
        <v>653</v>
      </c>
      <c r="D49" s="19" t="s">
        <v>2235</v>
      </c>
      <c r="E49" s="18" t="s">
        <v>2014</v>
      </c>
      <c r="F49" s="19" t="s">
        <v>2236</v>
      </c>
      <c r="G49" s="19" t="s">
        <v>2227</v>
      </c>
      <c r="H49" s="19" t="s">
        <v>2237</v>
      </c>
      <c r="I49" s="20" t="s">
        <v>2011</v>
      </c>
      <c r="J49" s="21"/>
    </row>
    <row r="50" spans="1:10" ht="27" customHeight="1" x14ac:dyDescent="0.25">
      <c r="A50" s="16" t="s">
        <v>2238</v>
      </c>
      <c r="B50" s="16" t="s">
        <v>661</v>
      </c>
      <c r="C50" s="17" t="s">
        <v>662</v>
      </c>
      <c r="D50" s="17" t="s">
        <v>2239</v>
      </c>
      <c r="E50" s="16" t="s">
        <v>2007</v>
      </c>
      <c r="F50" s="17" t="s">
        <v>2240</v>
      </c>
      <c r="G50" s="17" t="s">
        <v>2241</v>
      </c>
      <c r="H50" s="17" t="s">
        <v>2242</v>
      </c>
      <c r="I50" s="20" t="s">
        <v>2011</v>
      </c>
      <c r="J50" s="21"/>
    </row>
    <row r="51" spans="1:10" ht="27" customHeight="1" x14ac:dyDescent="0.25">
      <c r="A51" s="18" t="s">
        <v>2243</v>
      </c>
      <c r="B51" s="18" t="s">
        <v>661</v>
      </c>
      <c r="C51" s="19" t="s">
        <v>662</v>
      </c>
      <c r="D51" s="19" t="s">
        <v>2244</v>
      </c>
      <c r="E51" s="18" t="s">
        <v>2014</v>
      </c>
      <c r="F51" s="19" t="s">
        <v>2245</v>
      </c>
      <c r="G51" s="19" t="s">
        <v>2246</v>
      </c>
      <c r="H51" s="19" t="s">
        <v>2247</v>
      </c>
      <c r="I51" s="20" t="s">
        <v>2011</v>
      </c>
      <c r="J51" s="21"/>
    </row>
    <row r="52" spans="1:10" ht="27" customHeight="1" x14ac:dyDescent="0.25">
      <c r="A52" s="16" t="s">
        <v>2248</v>
      </c>
      <c r="B52" s="16" t="s">
        <v>669</v>
      </c>
      <c r="C52" s="17" t="s">
        <v>670</v>
      </c>
      <c r="D52" s="17" t="s">
        <v>2249</v>
      </c>
      <c r="E52" s="16" t="s">
        <v>2007</v>
      </c>
      <c r="F52" s="17" t="s">
        <v>2250</v>
      </c>
      <c r="G52" s="17" t="s">
        <v>2251</v>
      </c>
      <c r="H52" s="17" t="s">
        <v>2252</v>
      </c>
      <c r="I52" s="20" t="s">
        <v>2011</v>
      </c>
      <c r="J52" s="21"/>
    </row>
    <row r="53" spans="1:10" ht="27" customHeight="1" x14ac:dyDescent="0.25">
      <c r="A53" s="18" t="s">
        <v>2253</v>
      </c>
      <c r="B53" s="18" t="s">
        <v>669</v>
      </c>
      <c r="C53" s="19" t="s">
        <v>670</v>
      </c>
      <c r="D53" s="19" t="s">
        <v>2254</v>
      </c>
      <c r="E53" s="18" t="s">
        <v>2014</v>
      </c>
      <c r="F53" s="19" t="s">
        <v>2255</v>
      </c>
      <c r="G53" s="19" t="s">
        <v>2256</v>
      </c>
      <c r="H53" s="19" t="s">
        <v>2257</v>
      </c>
      <c r="I53" s="20" t="s">
        <v>2011</v>
      </c>
      <c r="J53" s="21"/>
    </row>
    <row r="54" spans="1:10" ht="27" customHeight="1" x14ac:dyDescent="0.25">
      <c r="A54" s="16" t="s">
        <v>2258</v>
      </c>
      <c r="B54" s="16" t="s">
        <v>680</v>
      </c>
      <c r="C54" s="17" t="s">
        <v>681</v>
      </c>
      <c r="D54" s="17" t="s">
        <v>2259</v>
      </c>
      <c r="E54" s="16" t="s">
        <v>2007</v>
      </c>
      <c r="F54" s="17" t="s">
        <v>2260</v>
      </c>
      <c r="G54" s="17" t="s">
        <v>2261</v>
      </c>
      <c r="H54" s="17" t="s">
        <v>2262</v>
      </c>
      <c r="I54" s="20" t="s">
        <v>2011</v>
      </c>
      <c r="J54" s="21"/>
    </row>
    <row r="55" spans="1:10" ht="27" customHeight="1" x14ac:dyDescent="0.25">
      <c r="A55" s="18" t="s">
        <v>2263</v>
      </c>
      <c r="B55" s="18" t="s">
        <v>680</v>
      </c>
      <c r="C55" s="19" t="s">
        <v>681</v>
      </c>
      <c r="D55" s="19" t="s">
        <v>2264</v>
      </c>
      <c r="E55" s="18" t="s">
        <v>2035</v>
      </c>
      <c r="F55" s="19" t="s">
        <v>2265</v>
      </c>
      <c r="G55" s="19" t="s">
        <v>2266</v>
      </c>
      <c r="H55" s="19" t="s">
        <v>2267</v>
      </c>
      <c r="I55" s="20" t="s">
        <v>2011</v>
      </c>
      <c r="J55" s="21"/>
    </row>
    <row r="56" spans="1:10" ht="27" customHeight="1" x14ac:dyDescent="0.25">
      <c r="A56" s="16" t="s">
        <v>2268</v>
      </c>
      <c r="B56" s="16" t="s">
        <v>692</v>
      </c>
      <c r="C56" s="17" t="s">
        <v>693</v>
      </c>
      <c r="D56" s="17" t="s">
        <v>2269</v>
      </c>
      <c r="E56" s="16" t="s">
        <v>2007</v>
      </c>
      <c r="F56" s="17" t="s">
        <v>2270</v>
      </c>
      <c r="G56" s="17" t="s">
        <v>2271</v>
      </c>
      <c r="H56" s="17" t="s">
        <v>2272</v>
      </c>
      <c r="I56" s="20" t="s">
        <v>2011</v>
      </c>
      <c r="J56" s="21"/>
    </row>
    <row r="57" spans="1:10" ht="27" customHeight="1" x14ac:dyDescent="0.25">
      <c r="A57" s="18" t="s">
        <v>2273</v>
      </c>
      <c r="B57" s="18" t="s">
        <v>692</v>
      </c>
      <c r="C57" s="19" t="s">
        <v>693</v>
      </c>
      <c r="D57" s="19" t="s">
        <v>2274</v>
      </c>
      <c r="E57" s="18" t="s">
        <v>2014</v>
      </c>
      <c r="F57" s="19" t="s">
        <v>2275</v>
      </c>
      <c r="G57" s="19" t="s">
        <v>2276</v>
      </c>
      <c r="H57" s="19" t="s">
        <v>2277</v>
      </c>
      <c r="I57" s="20" t="s">
        <v>2011</v>
      </c>
      <c r="J57" s="21"/>
    </row>
    <row r="58" spans="1:10" ht="27" customHeight="1" x14ac:dyDescent="0.25">
      <c r="A58" s="16" t="s">
        <v>2278</v>
      </c>
      <c r="B58" s="16" t="s">
        <v>692</v>
      </c>
      <c r="C58" s="17" t="s">
        <v>693</v>
      </c>
      <c r="D58" s="17" t="s">
        <v>2279</v>
      </c>
      <c r="E58" s="16" t="s">
        <v>2035</v>
      </c>
      <c r="F58" s="17" t="s">
        <v>2280</v>
      </c>
      <c r="G58" s="17" t="s">
        <v>2281</v>
      </c>
      <c r="H58" s="17" t="s">
        <v>2282</v>
      </c>
      <c r="I58" s="20" t="s">
        <v>2011</v>
      </c>
      <c r="J58" s="21"/>
    </row>
    <row r="59" spans="1:10" ht="27" customHeight="1" x14ac:dyDescent="0.25">
      <c r="A59" s="18" t="s">
        <v>2283</v>
      </c>
      <c r="B59" s="18" t="s">
        <v>704</v>
      </c>
      <c r="C59" s="19" t="s">
        <v>705</v>
      </c>
      <c r="D59" s="19" t="s">
        <v>2284</v>
      </c>
      <c r="E59" s="18" t="s">
        <v>2007</v>
      </c>
      <c r="F59" s="19" t="s">
        <v>2285</v>
      </c>
      <c r="G59" s="19" t="s">
        <v>2286</v>
      </c>
      <c r="H59" s="19" t="s">
        <v>2287</v>
      </c>
      <c r="I59" s="20" t="s">
        <v>2011</v>
      </c>
      <c r="J59" s="21"/>
    </row>
    <row r="60" spans="1:10" ht="27" customHeight="1" x14ac:dyDescent="0.25">
      <c r="A60" s="16" t="s">
        <v>2288</v>
      </c>
      <c r="B60" s="16" t="s">
        <v>704</v>
      </c>
      <c r="C60" s="17" t="s">
        <v>705</v>
      </c>
      <c r="D60" s="17" t="s">
        <v>2289</v>
      </c>
      <c r="E60" s="16" t="s">
        <v>2014</v>
      </c>
      <c r="F60" s="17" t="s">
        <v>2290</v>
      </c>
      <c r="G60" s="17" t="s">
        <v>2291</v>
      </c>
      <c r="H60" s="17" t="s">
        <v>2292</v>
      </c>
      <c r="I60" s="20" t="s">
        <v>2011</v>
      </c>
      <c r="J60" s="21"/>
    </row>
    <row r="61" spans="1:10" ht="40.5" customHeight="1" x14ac:dyDescent="0.25">
      <c r="A61" s="18" t="s">
        <v>2293</v>
      </c>
      <c r="B61" s="18" t="s">
        <v>717</v>
      </c>
      <c r="C61" s="19" t="s">
        <v>719</v>
      </c>
      <c r="D61" s="19" t="s">
        <v>2294</v>
      </c>
      <c r="E61" s="18" t="s">
        <v>2007</v>
      </c>
      <c r="F61" s="19" t="s">
        <v>2295</v>
      </c>
      <c r="G61" s="19" t="s">
        <v>2296</v>
      </c>
      <c r="H61" s="19" t="s">
        <v>2297</v>
      </c>
      <c r="I61" s="20" t="s">
        <v>2011</v>
      </c>
      <c r="J61" s="21"/>
    </row>
    <row r="62" spans="1:10" ht="27" customHeight="1" x14ac:dyDescent="0.25">
      <c r="A62" s="16" t="s">
        <v>2298</v>
      </c>
      <c r="B62" s="16" t="s">
        <v>717</v>
      </c>
      <c r="C62" s="17" t="s">
        <v>719</v>
      </c>
      <c r="D62" s="17" t="s">
        <v>2299</v>
      </c>
      <c r="E62" s="16" t="s">
        <v>2014</v>
      </c>
      <c r="F62" s="17" t="s">
        <v>2300</v>
      </c>
      <c r="G62" s="17" t="s">
        <v>2301</v>
      </c>
      <c r="H62" s="17" t="s">
        <v>2302</v>
      </c>
      <c r="I62" s="20" t="s">
        <v>2011</v>
      </c>
      <c r="J62" s="21"/>
    </row>
    <row r="63" spans="1:10" ht="40.5" customHeight="1" x14ac:dyDescent="0.25">
      <c r="A63" s="18" t="s">
        <v>2303</v>
      </c>
      <c r="B63" s="18" t="s">
        <v>728</v>
      </c>
      <c r="C63" s="19" t="s">
        <v>729</v>
      </c>
      <c r="D63" s="19" t="s">
        <v>2304</v>
      </c>
      <c r="E63" s="18" t="s">
        <v>2007</v>
      </c>
      <c r="F63" s="19" t="s">
        <v>2305</v>
      </c>
      <c r="G63" s="19" t="s">
        <v>2306</v>
      </c>
      <c r="H63" s="19" t="s">
        <v>2307</v>
      </c>
      <c r="I63" s="20" t="s">
        <v>2011</v>
      </c>
      <c r="J63" s="21"/>
    </row>
    <row r="64" spans="1:10" ht="27" customHeight="1" x14ac:dyDescent="0.25">
      <c r="A64" s="16" t="s">
        <v>2308</v>
      </c>
      <c r="B64" s="16" t="s">
        <v>728</v>
      </c>
      <c r="C64" s="17" t="s">
        <v>729</v>
      </c>
      <c r="D64" s="17" t="s">
        <v>2309</v>
      </c>
      <c r="E64" s="16" t="s">
        <v>2014</v>
      </c>
      <c r="F64" s="17" t="s">
        <v>2310</v>
      </c>
      <c r="G64" s="17" t="s">
        <v>2311</v>
      </c>
      <c r="H64" s="17" t="s">
        <v>2312</v>
      </c>
      <c r="I64" s="20" t="s">
        <v>2011</v>
      </c>
      <c r="J64" s="21"/>
    </row>
    <row r="65" spans="1:10" ht="27" customHeight="1" x14ac:dyDescent="0.25">
      <c r="A65" s="18" t="s">
        <v>2313</v>
      </c>
      <c r="B65" s="18" t="s">
        <v>728</v>
      </c>
      <c r="C65" s="19" t="s">
        <v>729</v>
      </c>
      <c r="D65" s="19" t="s">
        <v>2314</v>
      </c>
      <c r="E65" s="18" t="s">
        <v>2035</v>
      </c>
      <c r="F65" s="19" t="s">
        <v>2315</v>
      </c>
      <c r="G65" s="19" t="s">
        <v>2316</v>
      </c>
      <c r="H65" s="19" t="s">
        <v>2317</v>
      </c>
      <c r="I65" s="20" t="s">
        <v>2011</v>
      </c>
      <c r="J65" s="21"/>
    </row>
    <row r="66" spans="1:10" ht="27" customHeight="1" x14ac:dyDescent="0.25">
      <c r="A66" s="16" t="s">
        <v>2318</v>
      </c>
      <c r="B66" s="16" t="s">
        <v>739</v>
      </c>
      <c r="C66" s="17" t="s">
        <v>740</v>
      </c>
      <c r="D66" s="17" t="s">
        <v>2319</v>
      </c>
      <c r="E66" s="16" t="s">
        <v>2007</v>
      </c>
      <c r="F66" s="17" t="s">
        <v>2320</v>
      </c>
      <c r="G66" s="17" t="s">
        <v>2321</v>
      </c>
      <c r="H66" s="17" t="s">
        <v>2322</v>
      </c>
      <c r="I66" s="20" t="s">
        <v>2011</v>
      </c>
      <c r="J66" s="21"/>
    </row>
    <row r="67" spans="1:10" ht="27" customHeight="1" x14ac:dyDescent="0.25">
      <c r="A67" s="18" t="s">
        <v>2323</v>
      </c>
      <c r="B67" s="18" t="s">
        <v>739</v>
      </c>
      <c r="C67" s="19" t="s">
        <v>740</v>
      </c>
      <c r="D67" s="19" t="s">
        <v>2324</v>
      </c>
      <c r="E67" s="18" t="s">
        <v>2007</v>
      </c>
      <c r="F67" s="19" t="s">
        <v>2325</v>
      </c>
      <c r="G67" s="19" t="s">
        <v>2326</v>
      </c>
      <c r="H67" s="19" t="s">
        <v>2327</v>
      </c>
      <c r="I67" s="20" t="s">
        <v>2011</v>
      </c>
      <c r="J67" s="21"/>
    </row>
    <row r="68" spans="1:10" ht="27" customHeight="1" x14ac:dyDescent="0.25">
      <c r="A68" s="16" t="s">
        <v>2328</v>
      </c>
      <c r="B68" s="16" t="s">
        <v>739</v>
      </c>
      <c r="C68" s="17" t="s">
        <v>740</v>
      </c>
      <c r="D68" s="17" t="s">
        <v>2329</v>
      </c>
      <c r="E68" s="16" t="s">
        <v>2014</v>
      </c>
      <c r="F68" s="17" t="s">
        <v>2330</v>
      </c>
      <c r="G68" s="17" t="s">
        <v>2331</v>
      </c>
      <c r="H68" s="17" t="s">
        <v>2332</v>
      </c>
      <c r="I68" s="20" t="s">
        <v>2011</v>
      </c>
      <c r="J68" s="21"/>
    </row>
    <row r="69" spans="1:10" ht="27" customHeight="1" x14ac:dyDescent="0.25">
      <c r="A69" s="18" t="s">
        <v>2333</v>
      </c>
      <c r="B69" s="18" t="s">
        <v>750</v>
      </c>
      <c r="C69" s="19" t="s">
        <v>751</v>
      </c>
      <c r="D69" s="19" t="s">
        <v>2334</v>
      </c>
      <c r="E69" s="18" t="s">
        <v>2007</v>
      </c>
      <c r="F69" s="19" t="s">
        <v>2335</v>
      </c>
      <c r="G69" s="19" t="s">
        <v>2336</v>
      </c>
      <c r="H69" s="19" t="s">
        <v>2337</v>
      </c>
      <c r="I69" s="20" t="s">
        <v>2011</v>
      </c>
      <c r="J69" s="21"/>
    </row>
    <row r="70" spans="1:10" ht="27" customHeight="1" x14ac:dyDescent="0.25">
      <c r="A70" s="16" t="s">
        <v>2338</v>
      </c>
      <c r="B70" s="16" t="s">
        <v>750</v>
      </c>
      <c r="C70" s="17" t="s">
        <v>751</v>
      </c>
      <c r="D70" s="17" t="s">
        <v>2339</v>
      </c>
      <c r="E70" s="16" t="s">
        <v>2014</v>
      </c>
      <c r="F70" s="17" t="s">
        <v>2340</v>
      </c>
      <c r="G70" s="17" t="s">
        <v>2341</v>
      </c>
      <c r="H70" s="17" t="s">
        <v>2342</v>
      </c>
      <c r="I70" s="20" t="s">
        <v>2011</v>
      </c>
      <c r="J70" s="21"/>
    </row>
    <row r="71" spans="1:10" ht="27" customHeight="1" x14ac:dyDescent="0.25">
      <c r="A71" s="18" t="s">
        <v>2343</v>
      </c>
      <c r="B71" s="18" t="s">
        <v>759</v>
      </c>
      <c r="C71" s="19" t="s">
        <v>760</v>
      </c>
      <c r="D71" s="19" t="s">
        <v>2344</v>
      </c>
      <c r="E71" s="18" t="s">
        <v>2007</v>
      </c>
      <c r="F71" s="19" t="s">
        <v>2345</v>
      </c>
      <c r="G71" s="19" t="s">
        <v>2346</v>
      </c>
      <c r="H71" s="19" t="s">
        <v>2347</v>
      </c>
      <c r="I71" s="20" t="s">
        <v>2011</v>
      </c>
      <c r="J71" s="21"/>
    </row>
    <row r="72" spans="1:10" ht="27" customHeight="1" x14ac:dyDescent="0.25">
      <c r="A72" s="16" t="s">
        <v>2348</v>
      </c>
      <c r="B72" s="16" t="s">
        <v>759</v>
      </c>
      <c r="C72" s="17" t="s">
        <v>760</v>
      </c>
      <c r="D72" s="17" t="s">
        <v>2349</v>
      </c>
      <c r="E72" s="16" t="s">
        <v>2014</v>
      </c>
      <c r="F72" s="17" t="s">
        <v>2350</v>
      </c>
      <c r="G72" s="17" t="s">
        <v>2351</v>
      </c>
      <c r="H72" s="17" t="s">
        <v>2352</v>
      </c>
      <c r="I72" s="20" t="s">
        <v>2011</v>
      </c>
      <c r="J72" s="21"/>
    </row>
    <row r="73" spans="1:10" ht="27" customHeight="1" x14ac:dyDescent="0.25">
      <c r="A73" s="18" t="s">
        <v>2353</v>
      </c>
      <c r="B73" s="18" t="s">
        <v>768</v>
      </c>
      <c r="C73" s="19" t="s">
        <v>769</v>
      </c>
      <c r="D73" s="19" t="s">
        <v>2354</v>
      </c>
      <c r="E73" s="18" t="s">
        <v>2007</v>
      </c>
      <c r="F73" s="19" t="s">
        <v>2355</v>
      </c>
      <c r="G73" s="19" t="s">
        <v>2356</v>
      </c>
      <c r="H73" s="19" t="s">
        <v>2357</v>
      </c>
      <c r="I73" s="20" t="s">
        <v>2011</v>
      </c>
      <c r="J73" s="21"/>
    </row>
    <row r="74" spans="1:10" ht="27" customHeight="1" x14ac:dyDescent="0.25">
      <c r="A74" s="16" t="s">
        <v>2358</v>
      </c>
      <c r="B74" s="16" t="s">
        <v>768</v>
      </c>
      <c r="C74" s="17" t="s">
        <v>769</v>
      </c>
      <c r="D74" s="17" t="s">
        <v>2359</v>
      </c>
      <c r="E74" s="16" t="s">
        <v>2014</v>
      </c>
      <c r="F74" s="17" t="s">
        <v>2360</v>
      </c>
      <c r="G74" s="17" t="s">
        <v>2361</v>
      </c>
      <c r="H74" s="17" t="s">
        <v>2362</v>
      </c>
      <c r="I74" s="20" t="s">
        <v>2011</v>
      </c>
      <c r="J74" s="21"/>
    </row>
    <row r="75" spans="1:10" ht="27" customHeight="1" x14ac:dyDescent="0.25">
      <c r="A75" s="18" t="s">
        <v>2363</v>
      </c>
      <c r="B75" s="18" t="s">
        <v>777</v>
      </c>
      <c r="C75" s="19" t="s">
        <v>778</v>
      </c>
      <c r="D75" s="19" t="s">
        <v>2364</v>
      </c>
      <c r="E75" s="18" t="s">
        <v>2007</v>
      </c>
      <c r="F75" s="19" t="s">
        <v>2365</v>
      </c>
      <c r="G75" s="19" t="s">
        <v>2366</v>
      </c>
      <c r="H75" s="19" t="s">
        <v>2367</v>
      </c>
      <c r="I75" s="20" t="s">
        <v>2011</v>
      </c>
      <c r="J75" s="21"/>
    </row>
    <row r="76" spans="1:10" ht="27" customHeight="1" x14ac:dyDescent="0.25">
      <c r="A76" s="16" t="s">
        <v>2368</v>
      </c>
      <c r="B76" s="16" t="s">
        <v>777</v>
      </c>
      <c r="C76" s="17" t="s">
        <v>778</v>
      </c>
      <c r="D76" s="17" t="s">
        <v>2369</v>
      </c>
      <c r="E76" s="16" t="s">
        <v>2014</v>
      </c>
      <c r="F76" s="17" t="s">
        <v>2370</v>
      </c>
      <c r="G76" s="17" t="s">
        <v>2371</v>
      </c>
      <c r="H76" s="17" t="s">
        <v>2372</v>
      </c>
      <c r="I76" s="20" t="s">
        <v>2011</v>
      </c>
      <c r="J76" s="21"/>
    </row>
    <row r="77" spans="1:10" ht="27" customHeight="1" x14ac:dyDescent="0.25">
      <c r="A77" s="18" t="s">
        <v>2373</v>
      </c>
      <c r="B77" s="18" t="s">
        <v>777</v>
      </c>
      <c r="C77" s="19" t="s">
        <v>778</v>
      </c>
      <c r="D77" s="19" t="s">
        <v>2374</v>
      </c>
      <c r="E77" s="18" t="s">
        <v>2035</v>
      </c>
      <c r="F77" s="19" t="s">
        <v>2375</v>
      </c>
      <c r="G77" s="19" t="s">
        <v>2376</v>
      </c>
      <c r="H77" s="19" t="s">
        <v>2377</v>
      </c>
      <c r="I77" s="20" t="s">
        <v>2011</v>
      </c>
      <c r="J77" s="21"/>
    </row>
    <row r="78" spans="1:10" ht="27" customHeight="1" x14ac:dyDescent="0.25">
      <c r="A78" s="16" t="s">
        <v>2378</v>
      </c>
      <c r="B78" s="16" t="s">
        <v>788</v>
      </c>
      <c r="C78" s="17" t="s">
        <v>789</v>
      </c>
      <c r="D78" s="17" t="s">
        <v>2379</v>
      </c>
      <c r="E78" s="16" t="s">
        <v>2007</v>
      </c>
      <c r="F78" s="17" t="s">
        <v>2380</v>
      </c>
      <c r="G78" s="17" t="s">
        <v>2381</v>
      </c>
      <c r="H78" s="17" t="s">
        <v>2382</v>
      </c>
      <c r="I78" s="20" t="s">
        <v>2011</v>
      </c>
      <c r="J78" s="21"/>
    </row>
    <row r="79" spans="1:10" ht="27" customHeight="1" x14ac:dyDescent="0.25">
      <c r="A79" s="18" t="s">
        <v>2383</v>
      </c>
      <c r="B79" s="18" t="s">
        <v>788</v>
      </c>
      <c r="C79" s="19" t="s">
        <v>789</v>
      </c>
      <c r="D79" s="19" t="s">
        <v>2384</v>
      </c>
      <c r="E79" s="18" t="s">
        <v>2007</v>
      </c>
      <c r="F79" s="19" t="s">
        <v>2385</v>
      </c>
      <c r="G79" s="19" t="s">
        <v>2386</v>
      </c>
      <c r="H79" s="19" t="s">
        <v>2387</v>
      </c>
      <c r="I79" s="20" t="s">
        <v>2011</v>
      </c>
      <c r="J79" s="21"/>
    </row>
    <row r="80" spans="1:10" ht="27" customHeight="1" x14ac:dyDescent="0.25">
      <c r="A80" s="16" t="s">
        <v>2388</v>
      </c>
      <c r="B80" s="16" t="s">
        <v>788</v>
      </c>
      <c r="C80" s="17" t="s">
        <v>789</v>
      </c>
      <c r="D80" s="17" t="s">
        <v>2389</v>
      </c>
      <c r="E80" s="16" t="s">
        <v>2014</v>
      </c>
      <c r="F80" s="17" t="s">
        <v>2390</v>
      </c>
      <c r="G80" s="17" t="s">
        <v>2391</v>
      </c>
      <c r="H80" s="17" t="s">
        <v>2392</v>
      </c>
      <c r="I80" s="20" t="s">
        <v>2011</v>
      </c>
      <c r="J80" s="21"/>
    </row>
    <row r="81" spans="1:10" ht="27" customHeight="1" x14ac:dyDescent="0.25">
      <c r="A81" s="18" t="s">
        <v>2393</v>
      </c>
      <c r="B81" s="18" t="s">
        <v>800</v>
      </c>
      <c r="C81" s="19" t="s">
        <v>802</v>
      </c>
      <c r="D81" s="19" t="s">
        <v>2394</v>
      </c>
      <c r="E81" s="18" t="s">
        <v>2007</v>
      </c>
      <c r="F81" s="19" t="s">
        <v>2395</v>
      </c>
      <c r="G81" s="19" t="s">
        <v>2396</v>
      </c>
      <c r="H81" s="19" t="s">
        <v>2397</v>
      </c>
      <c r="I81" s="20" t="s">
        <v>2011</v>
      </c>
      <c r="J81" s="21"/>
    </row>
    <row r="82" spans="1:10" ht="27" customHeight="1" x14ac:dyDescent="0.25">
      <c r="A82" s="16" t="s">
        <v>2398</v>
      </c>
      <c r="B82" s="16" t="s">
        <v>800</v>
      </c>
      <c r="C82" s="17" t="s">
        <v>802</v>
      </c>
      <c r="D82" s="17" t="s">
        <v>2399</v>
      </c>
      <c r="E82" s="16" t="s">
        <v>2014</v>
      </c>
      <c r="F82" s="17" t="s">
        <v>2400</v>
      </c>
      <c r="G82" s="17" t="s">
        <v>2396</v>
      </c>
      <c r="H82" s="17" t="s">
        <v>2401</v>
      </c>
      <c r="I82" s="20" t="s">
        <v>2011</v>
      </c>
      <c r="J82" s="21"/>
    </row>
    <row r="83" spans="1:10" ht="27" customHeight="1" x14ac:dyDescent="0.25">
      <c r="A83" s="18" t="s">
        <v>2402</v>
      </c>
      <c r="B83" s="18" t="s">
        <v>811</v>
      </c>
      <c r="C83" s="19" t="s">
        <v>812</v>
      </c>
      <c r="D83" s="19" t="s">
        <v>2403</v>
      </c>
      <c r="E83" s="18" t="s">
        <v>2007</v>
      </c>
      <c r="F83" s="19" t="s">
        <v>2404</v>
      </c>
      <c r="G83" s="19" t="s">
        <v>2405</v>
      </c>
      <c r="H83" s="19" t="s">
        <v>2406</v>
      </c>
      <c r="I83" s="20" t="s">
        <v>2011</v>
      </c>
      <c r="J83" s="21"/>
    </row>
    <row r="84" spans="1:10" ht="27" customHeight="1" x14ac:dyDescent="0.25">
      <c r="A84" s="16" t="s">
        <v>2407</v>
      </c>
      <c r="B84" s="16" t="s">
        <v>811</v>
      </c>
      <c r="C84" s="17" t="s">
        <v>812</v>
      </c>
      <c r="D84" s="17" t="s">
        <v>2408</v>
      </c>
      <c r="E84" s="16" t="s">
        <v>2014</v>
      </c>
      <c r="F84" s="17" t="s">
        <v>2409</v>
      </c>
      <c r="G84" s="17" t="s">
        <v>2410</v>
      </c>
      <c r="H84" s="17" t="s">
        <v>2411</v>
      </c>
      <c r="I84" s="20" t="s">
        <v>2011</v>
      </c>
      <c r="J84" s="21"/>
    </row>
    <row r="85" spans="1:10" ht="27" customHeight="1" x14ac:dyDescent="0.25">
      <c r="A85" s="18" t="s">
        <v>2412</v>
      </c>
      <c r="B85" s="18" t="s">
        <v>811</v>
      </c>
      <c r="C85" s="19" t="s">
        <v>812</v>
      </c>
      <c r="D85" s="19" t="s">
        <v>2413</v>
      </c>
      <c r="E85" s="18" t="s">
        <v>2014</v>
      </c>
      <c r="F85" s="19" t="s">
        <v>2414</v>
      </c>
      <c r="G85" s="19" t="s">
        <v>2415</v>
      </c>
      <c r="H85" s="19" t="s">
        <v>2416</v>
      </c>
      <c r="I85" s="20" t="s">
        <v>2011</v>
      </c>
      <c r="J85" s="21"/>
    </row>
    <row r="86" spans="1:10" ht="27" customHeight="1" x14ac:dyDescent="0.25">
      <c r="A86" s="16" t="s">
        <v>2417</v>
      </c>
      <c r="B86" s="16" t="s">
        <v>822</v>
      </c>
      <c r="C86" s="17" t="s">
        <v>823</v>
      </c>
      <c r="D86" s="17" t="s">
        <v>2418</v>
      </c>
      <c r="E86" s="16" t="s">
        <v>2007</v>
      </c>
      <c r="F86" s="17" t="s">
        <v>2419</v>
      </c>
      <c r="G86" s="17" t="s">
        <v>2420</v>
      </c>
      <c r="H86" s="17" t="s">
        <v>2421</v>
      </c>
      <c r="I86" s="20" t="s">
        <v>2011</v>
      </c>
      <c r="J86" s="21"/>
    </row>
    <row r="87" spans="1:10" ht="27" customHeight="1" x14ac:dyDescent="0.25">
      <c r="A87" s="18" t="s">
        <v>2422</v>
      </c>
      <c r="B87" s="18" t="s">
        <v>822</v>
      </c>
      <c r="C87" s="19" t="s">
        <v>823</v>
      </c>
      <c r="D87" s="19" t="s">
        <v>2423</v>
      </c>
      <c r="E87" s="18" t="s">
        <v>2035</v>
      </c>
      <c r="F87" s="19" t="s">
        <v>2424</v>
      </c>
      <c r="G87" s="19" t="s">
        <v>2425</v>
      </c>
      <c r="H87" s="19" t="s">
        <v>2426</v>
      </c>
      <c r="I87" s="20" t="s">
        <v>2011</v>
      </c>
      <c r="J87" s="21"/>
    </row>
    <row r="88" spans="1:10" ht="27" customHeight="1" x14ac:dyDescent="0.25">
      <c r="A88" s="16" t="s">
        <v>2427</v>
      </c>
      <c r="B88" s="16" t="s">
        <v>822</v>
      </c>
      <c r="C88" s="17" t="s">
        <v>823</v>
      </c>
      <c r="D88" s="17" t="s">
        <v>2428</v>
      </c>
      <c r="E88" s="16" t="s">
        <v>2014</v>
      </c>
      <c r="F88" s="17" t="s">
        <v>2429</v>
      </c>
      <c r="G88" s="17" t="s">
        <v>2430</v>
      </c>
      <c r="H88" s="17" t="s">
        <v>2431</v>
      </c>
      <c r="I88" s="20" t="s">
        <v>2011</v>
      </c>
      <c r="J88" s="21"/>
    </row>
    <row r="89" spans="1:10" ht="27" customHeight="1" x14ac:dyDescent="0.25">
      <c r="A89" s="18" t="s">
        <v>2432</v>
      </c>
      <c r="B89" s="18" t="s">
        <v>832</v>
      </c>
      <c r="C89" s="19" t="s">
        <v>833</v>
      </c>
      <c r="D89" s="19" t="s">
        <v>2433</v>
      </c>
      <c r="E89" s="18" t="s">
        <v>2007</v>
      </c>
      <c r="F89" s="19" t="s">
        <v>2434</v>
      </c>
      <c r="G89" s="19" t="s">
        <v>2435</v>
      </c>
      <c r="H89" s="19" t="s">
        <v>2436</v>
      </c>
      <c r="I89" s="20" t="s">
        <v>2011</v>
      </c>
      <c r="J89" s="21"/>
    </row>
    <row r="90" spans="1:10" ht="27" customHeight="1" x14ac:dyDescent="0.25">
      <c r="A90" s="16" t="s">
        <v>2437</v>
      </c>
      <c r="B90" s="16" t="s">
        <v>832</v>
      </c>
      <c r="C90" s="17" t="s">
        <v>833</v>
      </c>
      <c r="D90" s="17" t="s">
        <v>2438</v>
      </c>
      <c r="E90" s="16" t="s">
        <v>2035</v>
      </c>
      <c r="F90" s="17" t="s">
        <v>2439</v>
      </c>
      <c r="G90" s="17" t="s">
        <v>2440</v>
      </c>
      <c r="H90" s="17" t="s">
        <v>2441</v>
      </c>
      <c r="I90" s="20" t="s">
        <v>2011</v>
      </c>
      <c r="J90" s="21"/>
    </row>
    <row r="91" spans="1:10" ht="27" customHeight="1" x14ac:dyDescent="0.25">
      <c r="A91" s="18" t="s">
        <v>2442</v>
      </c>
      <c r="B91" s="18" t="s">
        <v>841</v>
      </c>
      <c r="C91" s="19" t="s">
        <v>842</v>
      </c>
      <c r="D91" s="19" t="s">
        <v>2443</v>
      </c>
      <c r="E91" s="18" t="s">
        <v>2007</v>
      </c>
      <c r="F91" s="19" t="s">
        <v>2444</v>
      </c>
      <c r="G91" s="19" t="s">
        <v>2445</v>
      </c>
      <c r="H91" s="19" t="s">
        <v>2446</v>
      </c>
      <c r="I91" s="20" t="s">
        <v>2011</v>
      </c>
      <c r="J91" s="21"/>
    </row>
    <row r="92" spans="1:10" ht="27" customHeight="1" x14ac:dyDescent="0.25">
      <c r="A92" s="16" t="s">
        <v>2447</v>
      </c>
      <c r="B92" s="16" t="s">
        <v>841</v>
      </c>
      <c r="C92" s="17" t="s">
        <v>842</v>
      </c>
      <c r="D92" s="17" t="s">
        <v>2448</v>
      </c>
      <c r="E92" s="16" t="s">
        <v>2035</v>
      </c>
      <c r="F92" s="17" t="s">
        <v>2449</v>
      </c>
      <c r="G92" s="17" t="s">
        <v>2445</v>
      </c>
      <c r="H92" s="17" t="s">
        <v>2450</v>
      </c>
      <c r="I92" s="20" t="s">
        <v>2011</v>
      </c>
      <c r="J92" s="21"/>
    </row>
    <row r="93" spans="1:10" ht="27" customHeight="1" x14ac:dyDescent="0.25">
      <c r="A93" s="18" t="s">
        <v>2451</v>
      </c>
      <c r="B93" s="18" t="s">
        <v>850</v>
      </c>
      <c r="C93" s="19" t="s">
        <v>852</v>
      </c>
      <c r="D93" s="19" t="s">
        <v>2452</v>
      </c>
      <c r="E93" s="18" t="s">
        <v>2007</v>
      </c>
      <c r="F93" s="19" t="s">
        <v>2453</v>
      </c>
      <c r="G93" s="19" t="s">
        <v>2454</v>
      </c>
      <c r="H93" s="19" t="s">
        <v>2455</v>
      </c>
      <c r="I93" s="20" t="s">
        <v>2011</v>
      </c>
      <c r="J93" s="21"/>
    </row>
    <row r="94" spans="1:10" ht="27" customHeight="1" x14ac:dyDescent="0.25">
      <c r="A94" s="16" t="s">
        <v>2456</v>
      </c>
      <c r="B94" s="16" t="s">
        <v>850</v>
      </c>
      <c r="C94" s="17" t="s">
        <v>852</v>
      </c>
      <c r="D94" s="17" t="s">
        <v>2457</v>
      </c>
      <c r="E94" s="16" t="s">
        <v>2014</v>
      </c>
      <c r="F94" s="17" t="s">
        <v>2458</v>
      </c>
      <c r="G94" s="17" t="s">
        <v>2459</v>
      </c>
      <c r="H94" s="17" t="s">
        <v>2460</v>
      </c>
      <c r="I94" s="20" t="s">
        <v>2011</v>
      </c>
      <c r="J94" s="21"/>
    </row>
    <row r="95" spans="1:10" ht="27" customHeight="1" x14ac:dyDescent="0.25">
      <c r="A95" s="18" t="s">
        <v>2461</v>
      </c>
      <c r="B95" s="18" t="s">
        <v>850</v>
      </c>
      <c r="C95" s="19" t="s">
        <v>852</v>
      </c>
      <c r="D95" s="19" t="s">
        <v>2462</v>
      </c>
      <c r="E95" s="18" t="s">
        <v>2007</v>
      </c>
      <c r="F95" s="19" t="s">
        <v>2463</v>
      </c>
      <c r="G95" s="19" t="s">
        <v>2464</v>
      </c>
      <c r="H95" s="19" t="s">
        <v>2465</v>
      </c>
      <c r="I95" s="20" t="s">
        <v>2011</v>
      </c>
      <c r="J95" s="21"/>
    </row>
    <row r="96" spans="1:10" ht="15" customHeight="1" x14ac:dyDescent="0.25">
      <c r="A96" s="16" t="s">
        <v>2466</v>
      </c>
      <c r="B96" s="16" t="s">
        <v>864</v>
      </c>
      <c r="C96" s="17" t="s">
        <v>865</v>
      </c>
      <c r="D96" s="17" t="s">
        <v>2467</v>
      </c>
      <c r="E96" s="16" t="s">
        <v>2007</v>
      </c>
      <c r="F96" s="17" t="s">
        <v>2468</v>
      </c>
      <c r="G96" s="17" t="s">
        <v>2469</v>
      </c>
      <c r="H96" s="17" t="s">
        <v>2470</v>
      </c>
      <c r="I96" s="20" t="s">
        <v>2011</v>
      </c>
      <c r="J96" s="21"/>
    </row>
    <row r="97" spans="1:10" ht="27" customHeight="1" x14ac:dyDescent="0.25">
      <c r="A97" s="18" t="s">
        <v>2471</v>
      </c>
      <c r="B97" s="18" t="s">
        <v>864</v>
      </c>
      <c r="C97" s="19" t="s">
        <v>865</v>
      </c>
      <c r="D97" s="19" t="s">
        <v>2472</v>
      </c>
      <c r="E97" s="18" t="s">
        <v>2035</v>
      </c>
      <c r="F97" s="19" t="s">
        <v>2473</v>
      </c>
      <c r="G97" s="19" t="s">
        <v>2474</v>
      </c>
      <c r="H97" s="19" t="s">
        <v>2475</v>
      </c>
      <c r="I97" s="20" t="s">
        <v>2011</v>
      </c>
      <c r="J97" s="21"/>
    </row>
    <row r="98" spans="1:10" ht="27" customHeight="1" x14ac:dyDescent="0.25">
      <c r="A98" s="16" t="s">
        <v>2476</v>
      </c>
      <c r="B98" s="16" t="s">
        <v>864</v>
      </c>
      <c r="C98" s="17" t="s">
        <v>865</v>
      </c>
      <c r="D98" s="17" t="s">
        <v>2477</v>
      </c>
      <c r="E98" s="16" t="s">
        <v>2014</v>
      </c>
      <c r="F98" s="17" t="s">
        <v>2478</v>
      </c>
      <c r="G98" s="17" t="s">
        <v>2479</v>
      </c>
      <c r="H98" s="17" t="s">
        <v>2480</v>
      </c>
      <c r="I98" s="20" t="s">
        <v>2011</v>
      </c>
      <c r="J98" s="21"/>
    </row>
    <row r="99" spans="1:10" ht="27" customHeight="1" x14ac:dyDescent="0.25">
      <c r="A99" s="18" t="s">
        <v>2481</v>
      </c>
      <c r="B99" s="18" t="s">
        <v>874</v>
      </c>
      <c r="C99" s="19" t="s">
        <v>875</v>
      </c>
      <c r="D99" s="19" t="s">
        <v>2482</v>
      </c>
      <c r="E99" s="18" t="s">
        <v>2007</v>
      </c>
      <c r="F99" s="19" t="s">
        <v>2483</v>
      </c>
      <c r="G99" s="19" t="s">
        <v>2484</v>
      </c>
      <c r="H99" s="19" t="s">
        <v>2485</v>
      </c>
      <c r="I99" s="20" t="s">
        <v>2011</v>
      </c>
      <c r="J99" s="21"/>
    </row>
    <row r="100" spans="1:10" ht="27" customHeight="1" x14ac:dyDescent="0.25">
      <c r="A100" s="16" t="s">
        <v>2486</v>
      </c>
      <c r="B100" s="16" t="s">
        <v>874</v>
      </c>
      <c r="C100" s="17" t="s">
        <v>875</v>
      </c>
      <c r="D100" s="17" t="s">
        <v>2487</v>
      </c>
      <c r="E100" s="16" t="s">
        <v>2035</v>
      </c>
      <c r="F100" s="17" t="s">
        <v>2488</v>
      </c>
      <c r="G100" s="17" t="s">
        <v>2489</v>
      </c>
      <c r="H100" s="17" t="s">
        <v>2490</v>
      </c>
      <c r="I100" s="20" t="s">
        <v>2011</v>
      </c>
      <c r="J100" s="21"/>
    </row>
    <row r="101" spans="1:10" ht="27" customHeight="1" x14ac:dyDescent="0.25">
      <c r="A101" s="18" t="s">
        <v>2491</v>
      </c>
      <c r="B101" s="18" t="s">
        <v>884</v>
      </c>
      <c r="C101" s="19" t="s">
        <v>885</v>
      </c>
      <c r="D101" s="19" t="s">
        <v>2492</v>
      </c>
      <c r="E101" s="18" t="s">
        <v>2007</v>
      </c>
      <c r="F101" s="19" t="s">
        <v>2493</v>
      </c>
      <c r="G101" s="19" t="s">
        <v>2494</v>
      </c>
      <c r="H101" s="19" t="s">
        <v>2495</v>
      </c>
      <c r="I101" s="20" t="s">
        <v>2011</v>
      </c>
      <c r="J101" s="21"/>
    </row>
    <row r="102" spans="1:10" ht="27" customHeight="1" x14ac:dyDescent="0.25">
      <c r="A102" s="16" t="s">
        <v>2496</v>
      </c>
      <c r="B102" s="16" t="s">
        <v>884</v>
      </c>
      <c r="C102" s="17" t="s">
        <v>885</v>
      </c>
      <c r="D102" s="17" t="s">
        <v>2497</v>
      </c>
      <c r="E102" s="16" t="s">
        <v>2014</v>
      </c>
      <c r="F102" s="17" t="s">
        <v>2498</v>
      </c>
      <c r="G102" s="17" t="s">
        <v>2499</v>
      </c>
      <c r="H102" s="17" t="s">
        <v>2500</v>
      </c>
      <c r="I102" s="20" t="s">
        <v>2011</v>
      </c>
      <c r="J102" s="21"/>
    </row>
    <row r="103" spans="1:10" ht="27" customHeight="1" x14ac:dyDescent="0.25">
      <c r="A103" s="18" t="s">
        <v>2501</v>
      </c>
      <c r="B103" s="18" t="s">
        <v>895</v>
      </c>
      <c r="C103" s="19" t="s">
        <v>897</v>
      </c>
      <c r="D103" s="19" t="s">
        <v>2502</v>
      </c>
      <c r="E103" s="18" t="s">
        <v>2007</v>
      </c>
      <c r="F103" s="19" t="s">
        <v>2503</v>
      </c>
      <c r="G103" s="19" t="s">
        <v>2504</v>
      </c>
      <c r="H103" s="19" t="s">
        <v>2505</v>
      </c>
      <c r="I103" s="20" t="s">
        <v>2011</v>
      </c>
      <c r="J103" s="21"/>
    </row>
    <row r="104" spans="1:10" ht="27" customHeight="1" x14ac:dyDescent="0.25">
      <c r="A104" s="16" t="s">
        <v>2506</v>
      </c>
      <c r="B104" s="16" t="s">
        <v>895</v>
      </c>
      <c r="C104" s="17" t="s">
        <v>897</v>
      </c>
      <c r="D104" s="17" t="s">
        <v>2507</v>
      </c>
      <c r="E104" s="16" t="s">
        <v>2014</v>
      </c>
      <c r="F104" s="17" t="s">
        <v>2508</v>
      </c>
      <c r="G104" s="17" t="s">
        <v>2509</v>
      </c>
      <c r="H104" s="17" t="s">
        <v>2510</v>
      </c>
      <c r="I104" s="20" t="s">
        <v>2011</v>
      </c>
      <c r="J104" s="21"/>
    </row>
    <row r="105" spans="1:10" ht="27" customHeight="1" x14ac:dyDescent="0.25">
      <c r="A105" s="18" t="s">
        <v>2511</v>
      </c>
      <c r="B105" s="18" t="s">
        <v>895</v>
      </c>
      <c r="C105" s="19" t="s">
        <v>897</v>
      </c>
      <c r="D105" s="19" t="s">
        <v>2512</v>
      </c>
      <c r="E105" s="18" t="s">
        <v>2035</v>
      </c>
      <c r="F105" s="19" t="s">
        <v>2513</v>
      </c>
      <c r="G105" s="19" t="s">
        <v>2514</v>
      </c>
      <c r="H105" s="19" t="s">
        <v>2515</v>
      </c>
      <c r="I105" s="20" t="s">
        <v>2011</v>
      </c>
      <c r="J105" s="21"/>
    </row>
    <row r="106" spans="1:10" ht="27" customHeight="1" x14ac:dyDescent="0.25">
      <c r="A106" s="16" t="s">
        <v>2516</v>
      </c>
      <c r="B106" s="16" t="s">
        <v>907</v>
      </c>
      <c r="C106" s="17" t="s">
        <v>908</v>
      </c>
      <c r="D106" s="17" t="s">
        <v>2517</v>
      </c>
      <c r="E106" s="16" t="s">
        <v>2007</v>
      </c>
      <c r="F106" s="17" t="s">
        <v>2518</v>
      </c>
      <c r="G106" s="17" t="s">
        <v>2519</v>
      </c>
      <c r="H106" s="17" t="s">
        <v>2520</v>
      </c>
      <c r="I106" s="20" t="s">
        <v>2011</v>
      </c>
      <c r="J106" s="21"/>
    </row>
    <row r="107" spans="1:10" ht="27" customHeight="1" x14ac:dyDescent="0.25">
      <c r="A107" s="18" t="s">
        <v>2521</v>
      </c>
      <c r="B107" s="18" t="s">
        <v>907</v>
      </c>
      <c r="C107" s="19" t="s">
        <v>908</v>
      </c>
      <c r="D107" s="19" t="s">
        <v>2522</v>
      </c>
      <c r="E107" s="18" t="s">
        <v>2014</v>
      </c>
      <c r="F107" s="19" t="s">
        <v>2523</v>
      </c>
      <c r="G107" s="19" t="s">
        <v>2524</v>
      </c>
      <c r="H107" s="19" t="s">
        <v>2525</v>
      </c>
      <c r="I107" s="20" t="s">
        <v>2011</v>
      </c>
      <c r="J107" s="21"/>
    </row>
    <row r="108" spans="1:10" ht="27" customHeight="1" x14ac:dyDescent="0.25">
      <c r="A108" s="16" t="s">
        <v>2526</v>
      </c>
      <c r="B108" s="16" t="s">
        <v>918</v>
      </c>
      <c r="C108" s="17" t="s">
        <v>919</v>
      </c>
      <c r="D108" s="17" t="s">
        <v>2527</v>
      </c>
      <c r="E108" s="16" t="s">
        <v>2007</v>
      </c>
      <c r="F108" s="17" t="s">
        <v>2528</v>
      </c>
      <c r="G108" s="17" t="s">
        <v>2529</v>
      </c>
      <c r="H108" s="17" t="s">
        <v>2530</v>
      </c>
      <c r="I108" s="20" t="s">
        <v>2011</v>
      </c>
      <c r="J108" s="21"/>
    </row>
    <row r="109" spans="1:10" ht="27" customHeight="1" x14ac:dyDescent="0.25">
      <c r="A109" s="18" t="s">
        <v>2531</v>
      </c>
      <c r="B109" s="18" t="s">
        <v>918</v>
      </c>
      <c r="C109" s="19" t="s">
        <v>919</v>
      </c>
      <c r="D109" s="19" t="s">
        <v>2532</v>
      </c>
      <c r="E109" s="18" t="s">
        <v>2014</v>
      </c>
      <c r="F109" s="19" t="s">
        <v>2533</v>
      </c>
      <c r="G109" s="19" t="s">
        <v>2534</v>
      </c>
      <c r="H109" s="19" t="s">
        <v>2535</v>
      </c>
      <c r="I109" s="20" t="s">
        <v>2011</v>
      </c>
      <c r="J109" s="21"/>
    </row>
    <row r="110" spans="1:10" ht="40.5" customHeight="1" x14ac:dyDescent="0.25">
      <c r="A110" s="16" t="s">
        <v>2536</v>
      </c>
      <c r="B110" s="16" t="s">
        <v>929</v>
      </c>
      <c r="C110" s="17" t="s">
        <v>930</v>
      </c>
      <c r="D110" s="17" t="s">
        <v>2537</v>
      </c>
      <c r="E110" s="16" t="s">
        <v>2007</v>
      </c>
      <c r="F110" s="17" t="s">
        <v>2538</v>
      </c>
      <c r="G110" s="17" t="s">
        <v>2539</v>
      </c>
      <c r="H110" s="17" t="s">
        <v>2540</v>
      </c>
      <c r="I110" s="20" t="s">
        <v>2011</v>
      </c>
      <c r="J110" s="21"/>
    </row>
    <row r="111" spans="1:10" ht="27" customHeight="1" x14ac:dyDescent="0.25">
      <c r="A111" s="18" t="s">
        <v>2541</v>
      </c>
      <c r="B111" s="18" t="s">
        <v>929</v>
      </c>
      <c r="C111" s="19" t="s">
        <v>930</v>
      </c>
      <c r="D111" s="19" t="s">
        <v>2542</v>
      </c>
      <c r="E111" s="18" t="s">
        <v>2014</v>
      </c>
      <c r="F111" s="19" t="s">
        <v>2543</v>
      </c>
      <c r="G111" s="19" t="s">
        <v>2544</v>
      </c>
      <c r="H111" s="19" t="s">
        <v>2545</v>
      </c>
      <c r="I111" s="20" t="s">
        <v>2011</v>
      </c>
      <c r="J111" s="21"/>
    </row>
    <row r="112" spans="1:10" ht="27" customHeight="1" x14ac:dyDescent="0.25">
      <c r="A112" s="16" t="s">
        <v>2546</v>
      </c>
      <c r="B112" s="16" t="s">
        <v>939</v>
      </c>
      <c r="C112" s="17" t="s">
        <v>940</v>
      </c>
      <c r="D112" s="17" t="s">
        <v>2547</v>
      </c>
      <c r="E112" s="16" t="s">
        <v>2007</v>
      </c>
      <c r="F112" s="17" t="s">
        <v>2548</v>
      </c>
      <c r="G112" s="17" t="s">
        <v>2549</v>
      </c>
      <c r="H112" s="17" t="s">
        <v>2550</v>
      </c>
      <c r="I112" s="20" t="s">
        <v>2011</v>
      </c>
      <c r="J112" s="21"/>
    </row>
    <row r="113" spans="1:10" ht="27" customHeight="1" x14ac:dyDescent="0.25">
      <c r="A113" s="18" t="s">
        <v>2551</v>
      </c>
      <c r="B113" s="18" t="s">
        <v>939</v>
      </c>
      <c r="C113" s="19" t="s">
        <v>940</v>
      </c>
      <c r="D113" s="19" t="s">
        <v>2552</v>
      </c>
      <c r="E113" s="18" t="s">
        <v>2007</v>
      </c>
      <c r="F113" s="19" t="s">
        <v>2553</v>
      </c>
      <c r="G113" s="19" t="s">
        <v>2554</v>
      </c>
      <c r="H113" s="19" t="s">
        <v>2555</v>
      </c>
      <c r="I113" s="20" t="s">
        <v>2011</v>
      </c>
      <c r="J113" s="21"/>
    </row>
    <row r="114" spans="1:10" ht="27" customHeight="1" x14ac:dyDescent="0.25">
      <c r="A114" s="16" t="s">
        <v>2556</v>
      </c>
      <c r="B114" s="16" t="s">
        <v>939</v>
      </c>
      <c r="C114" s="17" t="s">
        <v>940</v>
      </c>
      <c r="D114" s="17" t="s">
        <v>2557</v>
      </c>
      <c r="E114" s="16" t="s">
        <v>2014</v>
      </c>
      <c r="F114" s="17" t="s">
        <v>2558</v>
      </c>
      <c r="G114" s="17" t="s">
        <v>2559</v>
      </c>
      <c r="H114" s="17" t="s">
        <v>2560</v>
      </c>
      <c r="I114" s="20" t="s">
        <v>2011</v>
      </c>
      <c r="J114" s="21"/>
    </row>
    <row r="115" spans="1:10" ht="15" customHeight="1" x14ac:dyDescent="0.25">
      <c r="A115" s="18" t="s">
        <v>2561</v>
      </c>
      <c r="B115" s="18" t="s">
        <v>952</v>
      </c>
      <c r="C115" s="19" t="s">
        <v>954</v>
      </c>
      <c r="D115" s="19" t="s">
        <v>2562</v>
      </c>
      <c r="E115" s="18" t="s">
        <v>2007</v>
      </c>
      <c r="F115" s="19" t="s">
        <v>2563</v>
      </c>
      <c r="G115" s="19" t="s">
        <v>2564</v>
      </c>
      <c r="H115" s="19" t="s">
        <v>2565</v>
      </c>
      <c r="I115" s="20" t="s">
        <v>2011</v>
      </c>
      <c r="J115" s="21"/>
    </row>
    <row r="116" spans="1:10" ht="15" customHeight="1" x14ac:dyDescent="0.25">
      <c r="A116" s="16" t="s">
        <v>2566</v>
      </c>
      <c r="B116" s="16" t="s">
        <v>952</v>
      </c>
      <c r="C116" s="17" t="s">
        <v>954</v>
      </c>
      <c r="D116" s="17" t="s">
        <v>2567</v>
      </c>
      <c r="E116" s="16" t="s">
        <v>2014</v>
      </c>
      <c r="F116" s="17" t="s">
        <v>2568</v>
      </c>
      <c r="G116" s="17" t="s">
        <v>2564</v>
      </c>
      <c r="H116" s="17" t="s">
        <v>2569</v>
      </c>
      <c r="I116" s="20" t="s">
        <v>2011</v>
      </c>
      <c r="J116" s="21"/>
    </row>
    <row r="117" spans="1:10" ht="27" customHeight="1" x14ac:dyDescent="0.25">
      <c r="A117" s="18" t="s">
        <v>2570</v>
      </c>
      <c r="B117" s="18" t="s">
        <v>952</v>
      </c>
      <c r="C117" s="19" t="s">
        <v>954</v>
      </c>
      <c r="D117" s="19" t="s">
        <v>2571</v>
      </c>
      <c r="E117" s="18" t="s">
        <v>2014</v>
      </c>
      <c r="F117" s="19" t="s">
        <v>2572</v>
      </c>
      <c r="G117" s="19" t="s">
        <v>2564</v>
      </c>
      <c r="H117" s="19" t="s">
        <v>2573</v>
      </c>
      <c r="I117" s="20" t="s">
        <v>2011</v>
      </c>
      <c r="J117" s="21"/>
    </row>
    <row r="118" spans="1:10" ht="27" customHeight="1" x14ac:dyDescent="0.25">
      <c r="A118" s="16" t="s">
        <v>2574</v>
      </c>
      <c r="B118" s="16" t="s">
        <v>963</v>
      </c>
      <c r="C118" s="17" t="s">
        <v>964</v>
      </c>
      <c r="D118" s="17" t="s">
        <v>2575</v>
      </c>
      <c r="E118" s="16" t="s">
        <v>2007</v>
      </c>
      <c r="F118" s="17" t="s">
        <v>2576</v>
      </c>
      <c r="G118" s="17" t="s">
        <v>2577</v>
      </c>
      <c r="H118" s="17" t="s">
        <v>2578</v>
      </c>
      <c r="I118" s="20" t="s">
        <v>2011</v>
      </c>
      <c r="J118" s="21"/>
    </row>
    <row r="119" spans="1:10" ht="27" customHeight="1" x14ac:dyDescent="0.25">
      <c r="A119" s="18" t="s">
        <v>2579</v>
      </c>
      <c r="B119" s="18" t="s">
        <v>963</v>
      </c>
      <c r="C119" s="19" t="s">
        <v>964</v>
      </c>
      <c r="D119" s="19" t="s">
        <v>2580</v>
      </c>
      <c r="E119" s="18" t="s">
        <v>2007</v>
      </c>
      <c r="F119" s="19" t="s">
        <v>2581</v>
      </c>
      <c r="G119" s="19" t="s">
        <v>2582</v>
      </c>
      <c r="H119" s="19" t="s">
        <v>2583</v>
      </c>
      <c r="I119" s="20" t="s">
        <v>2011</v>
      </c>
      <c r="J119" s="21"/>
    </row>
    <row r="120" spans="1:10" ht="27" customHeight="1" x14ac:dyDescent="0.25">
      <c r="A120" s="16" t="s">
        <v>2584</v>
      </c>
      <c r="B120" s="16" t="s">
        <v>963</v>
      </c>
      <c r="C120" s="17" t="s">
        <v>964</v>
      </c>
      <c r="D120" s="17" t="s">
        <v>2585</v>
      </c>
      <c r="E120" s="16" t="s">
        <v>2014</v>
      </c>
      <c r="F120" s="17" t="s">
        <v>2586</v>
      </c>
      <c r="G120" s="17" t="s">
        <v>2587</v>
      </c>
      <c r="H120" s="17" t="s">
        <v>2588</v>
      </c>
      <c r="I120" s="20" t="s">
        <v>2011</v>
      </c>
      <c r="J120" s="21"/>
    </row>
    <row r="121" spans="1:10" ht="27" customHeight="1" x14ac:dyDescent="0.25">
      <c r="A121" s="18" t="s">
        <v>2589</v>
      </c>
      <c r="B121" s="18" t="s">
        <v>975</v>
      </c>
      <c r="C121" s="19" t="s">
        <v>976</v>
      </c>
      <c r="D121" s="19" t="s">
        <v>2590</v>
      </c>
      <c r="E121" s="18" t="s">
        <v>2007</v>
      </c>
      <c r="F121" s="19" t="s">
        <v>2591</v>
      </c>
      <c r="G121" s="19" t="s">
        <v>2592</v>
      </c>
      <c r="H121" s="19" t="s">
        <v>2593</v>
      </c>
      <c r="I121" s="20" t="s">
        <v>2011</v>
      </c>
      <c r="J121" s="21"/>
    </row>
    <row r="122" spans="1:10" ht="27" customHeight="1" x14ac:dyDescent="0.25">
      <c r="A122" s="16" t="s">
        <v>2594</v>
      </c>
      <c r="B122" s="16" t="s">
        <v>975</v>
      </c>
      <c r="C122" s="17" t="s">
        <v>976</v>
      </c>
      <c r="D122" s="17" t="s">
        <v>2595</v>
      </c>
      <c r="E122" s="16" t="s">
        <v>2035</v>
      </c>
      <c r="F122" s="17" t="s">
        <v>2596</v>
      </c>
      <c r="G122" s="17" t="s">
        <v>2597</v>
      </c>
      <c r="H122" s="17" t="s">
        <v>2598</v>
      </c>
      <c r="I122" s="20" t="s">
        <v>2011</v>
      </c>
      <c r="J122" s="21"/>
    </row>
    <row r="123" spans="1:10" ht="27" customHeight="1" x14ac:dyDescent="0.25">
      <c r="A123" s="18" t="s">
        <v>2599</v>
      </c>
      <c r="B123" s="18" t="s">
        <v>986</v>
      </c>
      <c r="C123" s="19" t="s">
        <v>987</v>
      </c>
      <c r="D123" s="19" t="s">
        <v>2600</v>
      </c>
      <c r="E123" s="18" t="s">
        <v>2007</v>
      </c>
      <c r="F123" s="19" t="s">
        <v>2601</v>
      </c>
      <c r="G123" s="19" t="s">
        <v>2602</v>
      </c>
      <c r="H123" s="19" t="s">
        <v>2603</v>
      </c>
      <c r="I123" s="20" t="s">
        <v>2011</v>
      </c>
      <c r="J123" s="21"/>
    </row>
    <row r="124" spans="1:10" ht="27" customHeight="1" x14ac:dyDescent="0.25">
      <c r="A124" s="16" t="s">
        <v>2604</v>
      </c>
      <c r="B124" s="16" t="s">
        <v>986</v>
      </c>
      <c r="C124" s="17" t="s">
        <v>987</v>
      </c>
      <c r="D124" s="17" t="s">
        <v>2605</v>
      </c>
      <c r="E124" s="16" t="s">
        <v>2014</v>
      </c>
      <c r="F124" s="17" t="s">
        <v>2606</v>
      </c>
      <c r="G124" s="17" t="s">
        <v>2607</v>
      </c>
      <c r="H124" s="17" t="s">
        <v>2608</v>
      </c>
      <c r="I124" s="20" t="s">
        <v>2011</v>
      </c>
      <c r="J124" s="21"/>
    </row>
    <row r="125" spans="1:10" ht="27" customHeight="1" x14ac:dyDescent="0.25">
      <c r="A125" s="18" t="s">
        <v>2609</v>
      </c>
      <c r="B125" s="18" t="s">
        <v>986</v>
      </c>
      <c r="C125" s="19" t="s">
        <v>987</v>
      </c>
      <c r="D125" s="19" t="s">
        <v>2610</v>
      </c>
      <c r="E125" s="18" t="s">
        <v>2035</v>
      </c>
      <c r="F125" s="19" t="s">
        <v>2611</v>
      </c>
      <c r="G125" s="19" t="s">
        <v>2612</v>
      </c>
      <c r="H125" s="19" t="s">
        <v>2613</v>
      </c>
      <c r="I125" s="20" t="s">
        <v>2011</v>
      </c>
      <c r="J125" s="21"/>
    </row>
    <row r="126" spans="1:10" ht="40.5" customHeight="1" x14ac:dyDescent="0.25">
      <c r="A126" s="16" t="s">
        <v>2614</v>
      </c>
      <c r="B126" s="16" t="s">
        <v>998</v>
      </c>
      <c r="C126" s="17" t="s">
        <v>999</v>
      </c>
      <c r="D126" s="17" t="s">
        <v>2615</v>
      </c>
      <c r="E126" s="16" t="s">
        <v>2007</v>
      </c>
      <c r="F126" s="17" t="s">
        <v>2616</v>
      </c>
      <c r="G126" s="17" t="s">
        <v>2617</v>
      </c>
      <c r="H126" s="17" t="s">
        <v>2618</v>
      </c>
      <c r="I126" s="20" t="s">
        <v>2011</v>
      </c>
      <c r="J126" s="21"/>
    </row>
    <row r="127" spans="1:10" ht="27" customHeight="1" x14ac:dyDescent="0.25">
      <c r="A127" s="18" t="s">
        <v>2619</v>
      </c>
      <c r="B127" s="18" t="s">
        <v>998</v>
      </c>
      <c r="C127" s="19" t="s">
        <v>999</v>
      </c>
      <c r="D127" s="19" t="s">
        <v>2620</v>
      </c>
      <c r="E127" s="18" t="s">
        <v>2014</v>
      </c>
      <c r="F127" s="19" t="s">
        <v>2621</v>
      </c>
      <c r="G127" s="19" t="s">
        <v>2622</v>
      </c>
      <c r="H127" s="19" t="s">
        <v>2623</v>
      </c>
      <c r="I127" s="20" t="s">
        <v>2011</v>
      </c>
      <c r="J127" s="21"/>
    </row>
    <row r="128" spans="1:10" ht="27" customHeight="1" x14ac:dyDescent="0.25">
      <c r="A128" s="16" t="s">
        <v>2624</v>
      </c>
      <c r="B128" s="16" t="s">
        <v>998</v>
      </c>
      <c r="C128" s="17" t="s">
        <v>999</v>
      </c>
      <c r="D128" s="17" t="s">
        <v>2625</v>
      </c>
      <c r="E128" s="16" t="s">
        <v>2014</v>
      </c>
      <c r="F128" s="17" t="s">
        <v>2626</v>
      </c>
      <c r="G128" s="17" t="s">
        <v>2627</v>
      </c>
      <c r="H128" s="17" t="s">
        <v>2628</v>
      </c>
      <c r="I128" s="20" t="s">
        <v>2011</v>
      </c>
      <c r="J128" s="21"/>
    </row>
    <row r="129" spans="1:10" ht="27" customHeight="1" x14ac:dyDescent="0.25">
      <c r="A129" s="18" t="s">
        <v>2629</v>
      </c>
      <c r="B129" s="18" t="s">
        <v>1009</v>
      </c>
      <c r="C129" s="19" t="s">
        <v>1010</v>
      </c>
      <c r="D129" s="19" t="s">
        <v>2630</v>
      </c>
      <c r="E129" s="18" t="s">
        <v>2007</v>
      </c>
      <c r="F129" s="19" t="s">
        <v>2631</v>
      </c>
      <c r="G129" s="19" t="s">
        <v>2632</v>
      </c>
      <c r="H129" s="19" t="s">
        <v>2633</v>
      </c>
      <c r="I129" s="20" t="s">
        <v>2011</v>
      </c>
      <c r="J129" s="21"/>
    </row>
    <row r="130" spans="1:10" ht="27" customHeight="1" x14ac:dyDescent="0.25">
      <c r="A130" s="16" t="s">
        <v>2634</v>
      </c>
      <c r="B130" s="16" t="s">
        <v>1009</v>
      </c>
      <c r="C130" s="17" t="s">
        <v>1010</v>
      </c>
      <c r="D130" s="17" t="s">
        <v>2635</v>
      </c>
      <c r="E130" s="16" t="s">
        <v>2014</v>
      </c>
      <c r="F130" s="17" t="s">
        <v>2636</v>
      </c>
      <c r="G130" s="17" t="s">
        <v>2637</v>
      </c>
      <c r="H130" s="17" t="s">
        <v>2638</v>
      </c>
      <c r="I130" s="20" t="s">
        <v>2011</v>
      </c>
      <c r="J130" s="21"/>
    </row>
    <row r="131" spans="1:10" ht="27" customHeight="1" x14ac:dyDescent="0.25">
      <c r="A131" s="18" t="s">
        <v>2639</v>
      </c>
      <c r="B131" s="18" t="s">
        <v>1009</v>
      </c>
      <c r="C131" s="19" t="s">
        <v>1010</v>
      </c>
      <c r="D131" s="19" t="s">
        <v>2640</v>
      </c>
      <c r="E131" s="18" t="s">
        <v>2035</v>
      </c>
      <c r="F131" s="19" t="s">
        <v>2641</v>
      </c>
      <c r="G131" s="19" t="s">
        <v>2632</v>
      </c>
      <c r="H131" s="19" t="s">
        <v>2642</v>
      </c>
      <c r="I131" s="20" t="s">
        <v>2011</v>
      </c>
      <c r="J131" s="21"/>
    </row>
    <row r="132" spans="1:10" ht="27" customHeight="1" x14ac:dyDescent="0.25">
      <c r="A132" s="16" t="s">
        <v>2643</v>
      </c>
      <c r="B132" s="16" t="s">
        <v>1018</v>
      </c>
      <c r="C132" s="17" t="s">
        <v>1019</v>
      </c>
      <c r="D132" s="17" t="s">
        <v>2644</v>
      </c>
      <c r="E132" s="16" t="s">
        <v>2007</v>
      </c>
      <c r="F132" s="17" t="s">
        <v>2645</v>
      </c>
      <c r="G132" s="17" t="s">
        <v>2646</v>
      </c>
      <c r="H132" s="17" t="s">
        <v>2647</v>
      </c>
      <c r="I132" s="20" t="s">
        <v>2011</v>
      </c>
      <c r="J132" s="21"/>
    </row>
    <row r="133" spans="1:10" ht="27" customHeight="1" x14ac:dyDescent="0.25">
      <c r="A133" s="18" t="s">
        <v>2648</v>
      </c>
      <c r="B133" s="18" t="s">
        <v>1018</v>
      </c>
      <c r="C133" s="19" t="s">
        <v>1019</v>
      </c>
      <c r="D133" s="19" t="s">
        <v>2649</v>
      </c>
      <c r="E133" s="18" t="s">
        <v>2014</v>
      </c>
      <c r="F133" s="19" t="s">
        <v>2650</v>
      </c>
      <c r="G133" s="19" t="s">
        <v>2651</v>
      </c>
      <c r="H133" s="19" t="s">
        <v>2652</v>
      </c>
      <c r="I133" s="20" t="s">
        <v>2011</v>
      </c>
      <c r="J133" s="21"/>
    </row>
    <row r="134" spans="1:10" ht="27" customHeight="1" x14ac:dyDescent="0.25">
      <c r="A134" s="16" t="s">
        <v>2653</v>
      </c>
      <c r="B134" s="16" t="s">
        <v>1028</v>
      </c>
      <c r="C134" s="17" t="s">
        <v>1029</v>
      </c>
      <c r="D134" s="17" t="s">
        <v>2654</v>
      </c>
      <c r="E134" s="16" t="s">
        <v>2007</v>
      </c>
      <c r="F134" s="17" t="s">
        <v>2655</v>
      </c>
      <c r="G134" s="17" t="s">
        <v>2656</v>
      </c>
      <c r="H134" s="17" t="s">
        <v>2657</v>
      </c>
      <c r="I134" s="20" t="s">
        <v>2011</v>
      </c>
      <c r="J134" s="21"/>
    </row>
    <row r="135" spans="1:10" ht="27" customHeight="1" x14ac:dyDescent="0.25">
      <c r="A135" s="18" t="s">
        <v>2658</v>
      </c>
      <c r="B135" s="18" t="s">
        <v>1028</v>
      </c>
      <c r="C135" s="19" t="s">
        <v>1029</v>
      </c>
      <c r="D135" s="19" t="s">
        <v>2659</v>
      </c>
      <c r="E135" s="18" t="s">
        <v>2035</v>
      </c>
      <c r="F135" s="19" t="s">
        <v>2660</v>
      </c>
      <c r="G135" s="19" t="s">
        <v>2661</v>
      </c>
      <c r="H135" s="19" t="s">
        <v>2662</v>
      </c>
      <c r="I135" s="20" t="s">
        <v>2011</v>
      </c>
      <c r="J135" s="21"/>
    </row>
    <row r="136" spans="1:10" ht="27" customHeight="1" x14ac:dyDescent="0.25">
      <c r="A136" s="16" t="s">
        <v>2663</v>
      </c>
      <c r="B136" s="16" t="s">
        <v>1039</v>
      </c>
      <c r="C136" s="17" t="s">
        <v>1041</v>
      </c>
      <c r="D136" s="17" t="s">
        <v>2664</v>
      </c>
      <c r="E136" s="16" t="s">
        <v>2007</v>
      </c>
      <c r="F136" s="17" t="s">
        <v>2665</v>
      </c>
      <c r="G136" s="17" t="s">
        <v>2666</v>
      </c>
      <c r="H136" s="17" t="s">
        <v>2667</v>
      </c>
      <c r="I136" s="20" t="s">
        <v>2011</v>
      </c>
      <c r="J136" s="21"/>
    </row>
    <row r="137" spans="1:10" ht="27" customHeight="1" x14ac:dyDescent="0.25">
      <c r="A137" s="18" t="s">
        <v>2668</v>
      </c>
      <c r="B137" s="18" t="s">
        <v>1039</v>
      </c>
      <c r="C137" s="19" t="s">
        <v>1041</v>
      </c>
      <c r="D137" s="19" t="s">
        <v>2669</v>
      </c>
      <c r="E137" s="18" t="s">
        <v>2014</v>
      </c>
      <c r="F137" s="19" t="s">
        <v>2670</v>
      </c>
      <c r="G137" s="19" t="s">
        <v>2671</v>
      </c>
      <c r="H137" s="19" t="s">
        <v>2672</v>
      </c>
      <c r="I137" s="20" t="s">
        <v>2011</v>
      </c>
      <c r="J137" s="21"/>
    </row>
    <row r="138" spans="1:10" ht="27" customHeight="1" x14ac:dyDescent="0.25">
      <c r="A138" s="16" t="s">
        <v>2673</v>
      </c>
      <c r="B138" s="16" t="s">
        <v>1039</v>
      </c>
      <c r="C138" s="17" t="s">
        <v>1041</v>
      </c>
      <c r="D138" s="17" t="s">
        <v>2674</v>
      </c>
      <c r="E138" s="16" t="s">
        <v>2035</v>
      </c>
      <c r="F138" s="17" t="s">
        <v>2675</v>
      </c>
      <c r="G138" s="17" t="s">
        <v>2676</v>
      </c>
      <c r="H138" s="17" t="s">
        <v>2677</v>
      </c>
      <c r="I138" s="20" t="s">
        <v>2011</v>
      </c>
      <c r="J138" s="21"/>
    </row>
    <row r="139" spans="1:10" ht="40.5" customHeight="1" x14ac:dyDescent="0.25">
      <c r="A139" s="18" t="s">
        <v>2678</v>
      </c>
      <c r="B139" s="18" t="s">
        <v>1052</v>
      </c>
      <c r="C139" s="19" t="s">
        <v>1053</v>
      </c>
      <c r="D139" s="19" t="s">
        <v>2679</v>
      </c>
      <c r="E139" s="18" t="s">
        <v>2007</v>
      </c>
      <c r="F139" s="19" t="s">
        <v>2680</v>
      </c>
      <c r="G139" s="19" t="s">
        <v>2681</v>
      </c>
      <c r="H139" s="19" t="s">
        <v>2682</v>
      </c>
      <c r="I139" s="20" t="s">
        <v>2011</v>
      </c>
      <c r="J139" s="21"/>
    </row>
    <row r="140" spans="1:10" ht="27" customHeight="1" x14ac:dyDescent="0.25">
      <c r="A140" s="16" t="s">
        <v>2683</v>
      </c>
      <c r="B140" s="16" t="s">
        <v>1052</v>
      </c>
      <c r="C140" s="17" t="s">
        <v>1053</v>
      </c>
      <c r="D140" s="17" t="s">
        <v>2684</v>
      </c>
      <c r="E140" s="16" t="s">
        <v>2014</v>
      </c>
      <c r="F140" s="17" t="s">
        <v>2685</v>
      </c>
      <c r="G140" s="17" t="s">
        <v>2686</v>
      </c>
      <c r="H140" s="17" t="s">
        <v>2687</v>
      </c>
      <c r="I140" s="20" t="s">
        <v>2011</v>
      </c>
      <c r="J140" s="21"/>
    </row>
    <row r="141" spans="1:10" ht="27" customHeight="1" x14ac:dyDescent="0.25">
      <c r="A141" s="18" t="s">
        <v>2688</v>
      </c>
      <c r="B141" s="18" t="s">
        <v>1052</v>
      </c>
      <c r="C141" s="19" t="s">
        <v>1053</v>
      </c>
      <c r="D141" s="19" t="s">
        <v>2689</v>
      </c>
      <c r="E141" s="18" t="s">
        <v>2035</v>
      </c>
      <c r="F141" s="19" t="s">
        <v>2690</v>
      </c>
      <c r="G141" s="19" t="s">
        <v>2691</v>
      </c>
      <c r="H141" s="19" t="s">
        <v>2692</v>
      </c>
      <c r="I141" s="20" t="s">
        <v>2011</v>
      </c>
      <c r="J141" s="21"/>
    </row>
    <row r="142" spans="1:10" ht="27" customHeight="1" x14ac:dyDescent="0.25">
      <c r="A142" s="16" t="s">
        <v>2693</v>
      </c>
      <c r="B142" s="16" t="s">
        <v>1063</v>
      </c>
      <c r="C142" s="17" t="s">
        <v>1064</v>
      </c>
      <c r="D142" s="17" t="s">
        <v>2694</v>
      </c>
      <c r="E142" s="16" t="s">
        <v>2007</v>
      </c>
      <c r="F142" s="17" t="s">
        <v>2695</v>
      </c>
      <c r="G142" s="17" t="s">
        <v>2696</v>
      </c>
      <c r="H142" s="17" t="s">
        <v>2697</v>
      </c>
      <c r="I142" s="20" t="s">
        <v>2011</v>
      </c>
      <c r="J142" s="21"/>
    </row>
    <row r="143" spans="1:10" ht="27" customHeight="1" x14ac:dyDescent="0.25">
      <c r="A143" s="18" t="s">
        <v>2698</v>
      </c>
      <c r="B143" s="18" t="s">
        <v>1063</v>
      </c>
      <c r="C143" s="19" t="s">
        <v>1064</v>
      </c>
      <c r="D143" s="19" t="s">
        <v>2699</v>
      </c>
      <c r="E143" s="18" t="s">
        <v>2014</v>
      </c>
      <c r="F143" s="19" t="s">
        <v>2700</v>
      </c>
      <c r="G143" s="19" t="s">
        <v>2701</v>
      </c>
      <c r="H143" s="19" t="s">
        <v>2702</v>
      </c>
      <c r="I143" s="20" t="s">
        <v>2011</v>
      </c>
      <c r="J143" s="21"/>
    </row>
    <row r="144" spans="1:10" ht="27" customHeight="1" x14ac:dyDescent="0.25">
      <c r="A144" s="16" t="s">
        <v>2703</v>
      </c>
      <c r="B144" s="16" t="s">
        <v>1063</v>
      </c>
      <c r="C144" s="17" t="s">
        <v>1064</v>
      </c>
      <c r="D144" s="17" t="s">
        <v>2704</v>
      </c>
      <c r="E144" s="16" t="s">
        <v>2035</v>
      </c>
      <c r="F144" s="17" t="s">
        <v>2705</v>
      </c>
      <c r="G144" s="17" t="s">
        <v>2701</v>
      </c>
      <c r="H144" s="17" t="s">
        <v>2706</v>
      </c>
      <c r="I144" s="20" t="s">
        <v>2011</v>
      </c>
      <c r="J144" s="21"/>
    </row>
    <row r="145" spans="1:10" ht="27" customHeight="1" x14ac:dyDescent="0.25">
      <c r="A145" s="18" t="s">
        <v>2707</v>
      </c>
      <c r="B145" s="18" t="s">
        <v>1073</v>
      </c>
      <c r="C145" s="19" t="s">
        <v>1074</v>
      </c>
      <c r="D145" s="19" t="s">
        <v>2708</v>
      </c>
      <c r="E145" s="18" t="s">
        <v>2007</v>
      </c>
      <c r="F145" s="19" t="s">
        <v>2709</v>
      </c>
      <c r="G145" s="19" t="s">
        <v>2710</v>
      </c>
      <c r="H145" s="19" t="s">
        <v>2711</v>
      </c>
      <c r="I145" s="20" t="s">
        <v>2011</v>
      </c>
      <c r="J145" s="21"/>
    </row>
    <row r="146" spans="1:10" ht="27" customHeight="1" x14ac:dyDescent="0.25">
      <c r="A146" s="16" t="s">
        <v>2712</v>
      </c>
      <c r="B146" s="16" t="s">
        <v>1073</v>
      </c>
      <c r="C146" s="17" t="s">
        <v>1074</v>
      </c>
      <c r="D146" s="17" t="s">
        <v>2713</v>
      </c>
      <c r="E146" s="16" t="s">
        <v>2014</v>
      </c>
      <c r="F146" s="17" t="s">
        <v>2714</v>
      </c>
      <c r="G146" s="17" t="s">
        <v>2715</v>
      </c>
      <c r="H146" s="17" t="s">
        <v>2716</v>
      </c>
      <c r="I146" s="20" t="s">
        <v>2011</v>
      </c>
      <c r="J146" s="21"/>
    </row>
    <row r="147" spans="1:10" ht="27" customHeight="1" x14ac:dyDescent="0.25">
      <c r="A147" s="18" t="s">
        <v>2717</v>
      </c>
      <c r="B147" s="18" t="s">
        <v>1086</v>
      </c>
      <c r="C147" s="19" t="s">
        <v>1087</v>
      </c>
      <c r="D147" s="19" t="s">
        <v>2718</v>
      </c>
      <c r="E147" s="18" t="s">
        <v>2007</v>
      </c>
      <c r="F147" s="19" t="s">
        <v>2719</v>
      </c>
      <c r="G147" s="19" t="s">
        <v>2720</v>
      </c>
      <c r="H147" s="19" t="s">
        <v>2721</v>
      </c>
      <c r="I147" s="20" t="s">
        <v>2011</v>
      </c>
      <c r="J147" s="21"/>
    </row>
    <row r="148" spans="1:10" ht="27" customHeight="1" x14ac:dyDescent="0.25">
      <c r="A148" s="16" t="s">
        <v>2722</v>
      </c>
      <c r="B148" s="16" t="s">
        <v>1086</v>
      </c>
      <c r="C148" s="17" t="s">
        <v>1087</v>
      </c>
      <c r="D148" s="17" t="s">
        <v>2723</v>
      </c>
      <c r="E148" s="16" t="s">
        <v>2014</v>
      </c>
      <c r="F148" s="17" t="s">
        <v>2724</v>
      </c>
      <c r="G148" s="17" t="s">
        <v>2725</v>
      </c>
      <c r="H148" s="17" t="s">
        <v>2726</v>
      </c>
      <c r="I148" s="20" t="s">
        <v>2011</v>
      </c>
      <c r="J148" s="21"/>
    </row>
    <row r="149" spans="1:10" ht="27" customHeight="1" x14ac:dyDescent="0.25">
      <c r="A149" s="18" t="s">
        <v>2727</v>
      </c>
      <c r="B149" s="18" t="s">
        <v>1097</v>
      </c>
      <c r="C149" s="19" t="s">
        <v>1098</v>
      </c>
      <c r="D149" s="19" t="s">
        <v>2728</v>
      </c>
      <c r="E149" s="18" t="s">
        <v>2007</v>
      </c>
      <c r="F149" s="19" t="s">
        <v>2729</v>
      </c>
      <c r="G149" s="19" t="s">
        <v>2730</v>
      </c>
      <c r="H149" s="19" t="s">
        <v>2731</v>
      </c>
      <c r="I149" s="20" t="s">
        <v>2011</v>
      </c>
      <c r="J149" s="21"/>
    </row>
    <row r="150" spans="1:10" ht="40.5" customHeight="1" x14ac:dyDescent="0.25">
      <c r="A150" s="16" t="s">
        <v>2732</v>
      </c>
      <c r="B150" s="16" t="s">
        <v>1097</v>
      </c>
      <c r="C150" s="17" t="s">
        <v>1098</v>
      </c>
      <c r="D150" s="17" t="s">
        <v>2733</v>
      </c>
      <c r="E150" s="16" t="s">
        <v>2014</v>
      </c>
      <c r="F150" s="17" t="s">
        <v>2734</v>
      </c>
      <c r="G150" s="17" t="s">
        <v>2735</v>
      </c>
      <c r="H150" s="17" t="s">
        <v>2736</v>
      </c>
      <c r="I150" s="20" t="s">
        <v>2011</v>
      </c>
      <c r="J150" s="21"/>
    </row>
    <row r="151" spans="1:10" ht="27" customHeight="1" x14ac:dyDescent="0.25">
      <c r="A151" s="18" t="s">
        <v>2737</v>
      </c>
      <c r="B151" s="18" t="s">
        <v>1107</v>
      </c>
      <c r="C151" s="19" t="s">
        <v>1108</v>
      </c>
      <c r="D151" s="19" t="s">
        <v>2738</v>
      </c>
      <c r="E151" s="18" t="s">
        <v>2007</v>
      </c>
      <c r="F151" s="19" t="s">
        <v>2739</v>
      </c>
      <c r="G151" s="19" t="s">
        <v>2740</v>
      </c>
      <c r="H151" s="19" t="s">
        <v>2741</v>
      </c>
      <c r="I151" s="20" t="s">
        <v>2011</v>
      </c>
      <c r="J151" s="21"/>
    </row>
    <row r="152" spans="1:10" ht="27" customHeight="1" x14ac:dyDescent="0.25">
      <c r="A152" s="16" t="s">
        <v>2742</v>
      </c>
      <c r="B152" s="16" t="s">
        <v>1107</v>
      </c>
      <c r="C152" s="17" t="s">
        <v>1108</v>
      </c>
      <c r="D152" s="17" t="s">
        <v>2743</v>
      </c>
      <c r="E152" s="16" t="s">
        <v>2014</v>
      </c>
      <c r="F152" s="17" t="s">
        <v>2744</v>
      </c>
      <c r="G152" s="17" t="s">
        <v>2745</v>
      </c>
      <c r="H152" s="17" t="s">
        <v>2746</v>
      </c>
      <c r="I152" s="20" t="s">
        <v>2011</v>
      </c>
      <c r="J152" s="21"/>
    </row>
    <row r="153" spans="1:10" ht="27" customHeight="1" x14ac:dyDescent="0.25">
      <c r="A153" s="18" t="s">
        <v>2747</v>
      </c>
      <c r="B153" s="18" t="s">
        <v>1118</v>
      </c>
      <c r="C153" s="19" t="s">
        <v>1119</v>
      </c>
      <c r="D153" s="19" t="s">
        <v>2748</v>
      </c>
      <c r="E153" s="18" t="s">
        <v>2007</v>
      </c>
      <c r="F153" s="19" t="s">
        <v>2749</v>
      </c>
      <c r="G153" s="19" t="s">
        <v>2750</v>
      </c>
      <c r="H153" s="19" t="s">
        <v>2751</v>
      </c>
      <c r="I153" s="20" t="s">
        <v>2011</v>
      </c>
      <c r="J153" s="21"/>
    </row>
    <row r="154" spans="1:10" ht="27" customHeight="1" x14ac:dyDescent="0.25">
      <c r="A154" s="16" t="s">
        <v>2752</v>
      </c>
      <c r="B154" s="16" t="s">
        <v>1118</v>
      </c>
      <c r="C154" s="17" t="s">
        <v>1119</v>
      </c>
      <c r="D154" s="17" t="s">
        <v>2753</v>
      </c>
      <c r="E154" s="16" t="s">
        <v>2014</v>
      </c>
      <c r="F154" s="17" t="s">
        <v>2754</v>
      </c>
      <c r="G154" s="17" t="s">
        <v>2755</v>
      </c>
      <c r="H154" s="17" t="s">
        <v>2756</v>
      </c>
      <c r="I154" s="20" t="s">
        <v>2011</v>
      </c>
      <c r="J154" s="21"/>
    </row>
    <row r="155" spans="1:10" ht="27" customHeight="1" x14ac:dyDescent="0.25">
      <c r="A155" s="18" t="s">
        <v>2757</v>
      </c>
      <c r="B155" s="18" t="s">
        <v>1118</v>
      </c>
      <c r="C155" s="19" t="s">
        <v>1119</v>
      </c>
      <c r="D155" s="19" t="s">
        <v>2758</v>
      </c>
      <c r="E155" s="18" t="s">
        <v>2035</v>
      </c>
      <c r="F155" s="19" t="s">
        <v>2759</v>
      </c>
      <c r="G155" s="19" t="s">
        <v>2760</v>
      </c>
      <c r="H155" s="19" t="s">
        <v>2761</v>
      </c>
      <c r="I155" s="20" t="s">
        <v>2011</v>
      </c>
      <c r="J155" s="21"/>
    </row>
    <row r="156" spans="1:10" ht="27" customHeight="1" x14ac:dyDescent="0.25">
      <c r="A156" s="16" t="s">
        <v>2762</v>
      </c>
      <c r="B156" s="16" t="s">
        <v>1127</v>
      </c>
      <c r="C156" s="17" t="s">
        <v>1128</v>
      </c>
      <c r="D156" s="17" t="s">
        <v>2763</v>
      </c>
      <c r="E156" s="16" t="s">
        <v>2007</v>
      </c>
      <c r="F156" s="17" t="s">
        <v>2764</v>
      </c>
      <c r="G156" s="17" t="s">
        <v>2765</v>
      </c>
      <c r="H156" s="17" t="s">
        <v>2766</v>
      </c>
      <c r="I156" s="20" t="s">
        <v>2011</v>
      </c>
      <c r="J156" s="21"/>
    </row>
    <row r="157" spans="1:10" ht="27" customHeight="1" x14ac:dyDescent="0.25">
      <c r="A157" s="18" t="s">
        <v>2767</v>
      </c>
      <c r="B157" s="18" t="s">
        <v>1127</v>
      </c>
      <c r="C157" s="19" t="s">
        <v>1128</v>
      </c>
      <c r="D157" s="19" t="s">
        <v>2768</v>
      </c>
      <c r="E157" s="18" t="s">
        <v>2035</v>
      </c>
      <c r="F157" s="19" t="s">
        <v>2769</v>
      </c>
      <c r="G157" s="19" t="s">
        <v>2770</v>
      </c>
      <c r="H157" s="19" t="s">
        <v>2771</v>
      </c>
      <c r="I157" s="20" t="s">
        <v>2011</v>
      </c>
      <c r="J157" s="21"/>
    </row>
    <row r="158" spans="1:10" ht="27" customHeight="1" x14ac:dyDescent="0.25">
      <c r="A158" s="16" t="s">
        <v>2772</v>
      </c>
      <c r="B158" s="16" t="s">
        <v>1137</v>
      </c>
      <c r="C158" s="17" t="s">
        <v>1138</v>
      </c>
      <c r="D158" s="17" t="s">
        <v>2773</v>
      </c>
      <c r="E158" s="16" t="s">
        <v>2007</v>
      </c>
      <c r="F158" s="17" t="s">
        <v>2774</v>
      </c>
      <c r="G158" s="17" t="s">
        <v>2775</v>
      </c>
      <c r="H158" s="17" t="s">
        <v>2776</v>
      </c>
      <c r="I158" s="20" t="s">
        <v>2011</v>
      </c>
      <c r="J158" s="21"/>
    </row>
    <row r="159" spans="1:10" ht="27" customHeight="1" x14ac:dyDescent="0.25">
      <c r="A159" s="18" t="s">
        <v>2777</v>
      </c>
      <c r="B159" s="18" t="s">
        <v>1137</v>
      </c>
      <c r="C159" s="19" t="s">
        <v>1138</v>
      </c>
      <c r="D159" s="19" t="s">
        <v>2778</v>
      </c>
      <c r="E159" s="18" t="s">
        <v>2035</v>
      </c>
      <c r="F159" s="19" t="s">
        <v>2779</v>
      </c>
      <c r="G159" s="19" t="s">
        <v>2780</v>
      </c>
      <c r="H159" s="19" t="s">
        <v>2781</v>
      </c>
      <c r="I159" s="20" t="s">
        <v>2011</v>
      </c>
      <c r="J159" s="21"/>
    </row>
    <row r="160" spans="1:10" ht="40.5" customHeight="1" x14ac:dyDescent="0.25">
      <c r="A160" s="16" t="s">
        <v>2782</v>
      </c>
      <c r="B160" s="16" t="s">
        <v>1146</v>
      </c>
      <c r="C160" s="17" t="s">
        <v>1147</v>
      </c>
      <c r="D160" s="17" t="s">
        <v>2783</v>
      </c>
      <c r="E160" s="16" t="s">
        <v>2007</v>
      </c>
      <c r="F160" s="17" t="s">
        <v>2784</v>
      </c>
      <c r="G160" s="17" t="s">
        <v>2785</v>
      </c>
      <c r="H160" s="17" t="s">
        <v>2786</v>
      </c>
      <c r="I160" s="20" t="s">
        <v>2011</v>
      </c>
      <c r="J160" s="21"/>
    </row>
    <row r="161" spans="1:10" ht="27" customHeight="1" x14ac:dyDescent="0.25">
      <c r="A161" s="18" t="s">
        <v>2787</v>
      </c>
      <c r="B161" s="18" t="s">
        <v>1146</v>
      </c>
      <c r="C161" s="19" t="s">
        <v>1147</v>
      </c>
      <c r="D161" s="19" t="s">
        <v>2788</v>
      </c>
      <c r="E161" s="18" t="s">
        <v>2014</v>
      </c>
      <c r="F161" s="19" t="s">
        <v>2789</v>
      </c>
      <c r="G161" s="19" t="s">
        <v>2790</v>
      </c>
      <c r="H161" s="19" t="s">
        <v>2791</v>
      </c>
      <c r="I161" s="20" t="s">
        <v>2011</v>
      </c>
      <c r="J161" s="21"/>
    </row>
    <row r="162" spans="1:10" ht="27" customHeight="1" x14ac:dyDescent="0.25">
      <c r="A162" s="16" t="s">
        <v>2792</v>
      </c>
      <c r="B162" s="16" t="s">
        <v>1159</v>
      </c>
      <c r="C162" s="17" t="s">
        <v>1160</v>
      </c>
      <c r="D162" s="17" t="s">
        <v>2793</v>
      </c>
      <c r="E162" s="16" t="s">
        <v>2007</v>
      </c>
      <c r="F162" s="17" t="s">
        <v>2794</v>
      </c>
      <c r="G162" s="17" t="s">
        <v>2795</v>
      </c>
      <c r="H162" s="17" t="s">
        <v>2796</v>
      </c>
      <c r="I162" s="20" t="s">
        <v>2011</v>
      </c>
      <c r="J162" s="21"/>
    </row>
    <row r="163" spans="1:10" ht="27" customHeight="1" x14ac:dyDescent="0.25">
      <c r="A163" s="18" t="s">
        <v>2797</v>
      </c>
      <c r="B163" s="18" t="s">
        <v>1159</v>
      </c>
      <c r="C163" s="19" t="s">
        <v>1160</v>
      </c>
      <c r="D163" s="19" t="s">
        <v>2798</v>
      </c>
      <c r="E163" s="18" t="s">
        <v>2014</v>
      </c>
      <c r="F163" s="19" t="s">
        <v>2799</v>
      </c>
      <c r="G163" s="19" t="s">
        <v>2800</v>
      </c>
      <c r="H163" s="19" t="s">
        <v>2801</v>
      </c>
      <c r="I163" s="20" t="s">
        <v>2011</v>
      </c>
      <c r="J163" s="21"/>
    </row>
    <row r="164" spans="1:10" ht="27" customHeight="1" x14ac:dyDescent="0.25">
      <c r="A164" s="16" t="s">
        <v>2802</v>
      </c>
      <c r="B164" s="16" t="s">
        <v>1170</v>
      </c>
      <c r="C164" s="17" t="s">
        <v>1171</v>
      </c>
      <c r="D164" s="17" t="s">
        <v>2803</v>
      </c>
      <c r="E164" s="16" t="s">
        <v>2007</v>
      </c>
      <c r="F164" s="17" t="s">
        <v>2804</v>
      </c>
      <c r="G164" s="17" t="s">
        <v>2805</v>
      </c>
      <c r="H164" s="17" t="s">
        <v>2806</v>
      </c>
      <c r="I164" s="20" t="s">
        <v>2011</v>
      </c>
      <c r="J164" s="21"/>
    </row>
    <row r="165" spans="1:10" ht="27" customHeight="1" x14ac:dyDescent="0.25">
      <c r="A165" s="18" t="s">
        <v>2807</v>
      </c>
      <c r="B165" s="18" t="s">
        <v>1170</v>
      </c>
      <c r="C165" s="19" t="s">
        <v>1171</v>
      </c>
      <c r="D165" s="19" t="s">
        <v>2808</v>
      </c>
      <c r="E165" s="18" t="s">
        <v>2035</v>
      </c>
      <c r="F165" s="19" t="s">
        <v>2809</v>
      </c>
      <c r="G165" s="19" t="s">
        <v>2810</v>
      </c>
      <c r="H165" s="19" t="s">
        <v>2811</v>
      </c>
      <c r="I165" s="20" t="s">
        <v>2011</v>
      </c>
      <c r="J165" s="21"/>
    </row>
    <row r="166" spans="1:10" ht="27" customHeight="1" x14ac:dyDescent="0.25">
      <c r="A166" s="16" t="s">
        <v>2812</v>
      </c>
      <c r="B166" s="16" t="s">
        <v>1181</v>
      </c>
      <c r="C166" s="17" t="s">
        <v>1183</v>
      </c>
      <c r="D166" s="17" t="s">
        <v>2813</v>
      </c>
      <c r="E166" s="16" t="s">
        <v>2007</v>
      </c>
      <c r="F166" s="17" t="s">
        <v>2814</v>
      </c>
      <c r="G166" s="17" t="s">
        <v>2815</v>
      </c>
      <c r="H166" s="17" t="s">
        <v>2816</v>
      </c>
      <c r="I166" s="20" t="s">
        <v>2011</v>
      </c>
      <c r="J166" s="21"/>
    </row>
    <row r="167" spans="1:10" ht="40.5" customHeight="1" x14ac:dyDescent="0.25">
      <c r="A167" s="18" t="s">
        <v>2817</v>
      </c>
      <c r="B167" s="18" t="s">
        <v>1181</v>
      </c>
      <c r="C167" s="19" t="s">
        <v>1183</v>
      </c>
      <c r="D167" s="19" t="s">
        <v>2818</v>
      </c>
      <c r="E167" s="18" t="s">
        <v>2014</v>
      </c>
      <c r="F167" s="19" t="s">
        <v>2819</v>
      </c>
      <c r="G167" s="19" t="s">
        <v>2820</v>
      </c>
      <c r="H167" s="19" t="s">
        <v>2821</v>
      </c>
      <c r="I167" s="20" t="s">
        <v>2011</v>
      </c>
      <c r="J167" s="21"/>
    </row>
    <row r="168" spans="1:10" ht="27" customHeight="1" x14ac:dyDescent="0.25">
      <c r="A168" s="16" t="s">
        <v>2822</v>
      </c>
      <c r="B168" s="16" t="s">
        <v>1194</v>
      </c>
      <c r="C168" s="17" t="s">
        <v>1195</v>
      </c>
      <c r="D168" s="17" t="s">
        <v>2823</v>
      </c>
      <c r="E168" s="16" t="s">
        <v>2007</v>
      </c>
      <c r="F168" s="17" t="s">
        <v>2824</v>
      </c>
      <c r="G168" s="17" t="s">
        <v>2825</v>
      </c>
      <c r="H168" s="17" t="s">
        <v>2826</v>
      </c>
      <c r="I168" s="20" t="s">
        <v>2011</v>
      </c>
      <c r="J168" s="21"/>
    </row>
    <row r="169" spans="1:10" ht="27" customHeight="1" x14ac:dyDescent="0.25">
      <c r="A169" s="18" t="s">
        <v>2827</v>
      </c>
      <c r="B169" s="18" t="s">
        <v>1194</v>
      </c>
      <c r="C169" s="19" t="s">
        <v>1195</v>
      </c>
      <c r="D169" s="19" t="s">
        <v>2828</v>
      </c>
      <c r="E169" s="18" t="s">
        <v>2014</v>
      </c>
      <c r="F169" s="19" t="s">
        <v>2829</v>
      </c>
      <c r="G169" s="19" t="s">
        <v>2830</v>
      </c>
      <c r="H169" s="19" t="s">
        <v>2831</v>
      </c>
      <c r="I169" s="20" t="s">
        <v>2011</v>
      </c>
      <c r="J169" s="21"/>
    </row>
    <row r="170" spans="1:10" ht="27" customHeight="1" x14ac:dyDescent="0.25">
      <c r="A170" s="16" t="s">
        <v>2832</v>
      </c>
      <c r="B170" s="16" t="s">
        <v>1194</v>
      </c>
      <c r="C170" s="17" t="s">
        <v>1195</v>
      </c>
      <c r="D170" s="17" t="s">
        <v>2833</v>
      </c>
      <c r="E170" s="16" t="s">
        <v>2035</v>
      </c>
      <c r="F170" s="17" t="s">
        <v>2834</v>
      </c>
      <c r="G170" s="17" t="s">
        <v>2835</v>
      </c>
      <c r="H170" s="17" t="s">
        <v>2836</v>
      </c>
      <c r="I170" s="20" t="s">
        <v>2011</v>
      </c>
      <c r="J170" s="21"/>
    </row>
    <row r="171" spans="1:10" ht="27" customHeight="1" x14ac:dyDescent="0.25">
      <c r="A171" s="18" t="s">
        <v>2837</v>
      </c>
      <c r="B171" s="18" t="s">
        <v>1204</v>
      </c>
      <c r="C171" s="19" t="s">
        <v>1205</v>
      </c>
      <c r="D171" s="19" t="s">
        <v>2838</v>
      </c>
      <c r="E171" s="18" t="s">
        <v>2007</v>
      </c>
      <c r="F171" s="19" t="s">
        <v>2839</v>
      </c>
      <c r="G171" s="19" t="s">
        <v>2840</v>
      </c>
      <c r="H171" s="19" t="s">
        <v>2841</v>
      </c>
      <c r="I171" s="20" t="s">
        <v>2011</v>
      </c>
      <c r="J171" s="21"/>
    </row>
    <row r="172" spans="1:10" ht="27" customHeight="1" x14ac:dyDescent="0.25">
      <c r="A172" s="16" t="s">
        <v>2842</v>
      </c>
      <c r="B172" s="16" t="s">
        <v>1204</v>
      </c>
      <c r="C172" s="17" t="s">
        <v>1205</v>
      </c>
      <c r="D172" s="17" t="s">
        <v>2843</v>
      </c>
      <c r="E172" s="16" t="s">
        <v>2035</v>
      </c>
      <c r="F172" s="17" t="s">
        <v>2844</v>
      </c>
      <c r="G172" s="17" t="s">
        <v>2845</v>
      </c>
      <c r="H172" s="17" t="s">
        <v>2846</v>
      </c>
      <c r="I172" s="20" t="s">
        <v>2011</v>
      </c>
      <c r="J172" s="21"/>
    </row>
    <row r="173" spans="1:10" ht="27" customHeight="1" x14ac:dyDescent="0.25">
      <c r="A173" s="18" t="s">
        <v>2847</v>
      </c>
      <c r="B173" s="18" t="s">
        <v>1212</v>
      </c>
      <c r="C173" s="19" t="s">
        <v>1213</v>
      </c>
      <c r="D173" s="19" t="s">
        <v>2848</v>
      </c>
      <c r="E173" s="18" t="s">
        <v>2007</v>
      </c>
      <c r="F173" s="19" t="s">
        <v>2849</v>
      </c>
      <c r="G173" s="19" t="s">
        <v>2850</v>
      </c>
      <c r="H173" s="19" t="s">
        <v>2851</v>
      </c>
      <c r="I173" s="20" t="s">
        <v>2011</v>
      </c>
      <c r="J173" s="21"/>
    </row>
    <row r="174" spans="1:10" ht="27" customHeight="1" x14ac:dyDescent="0.25">
      <c r="A174" s="16" t="s">
        <v>2852</v>
      </c>
      <c r="B174" s="16" t="s">
        <v>1212</v>
      </c>
      <c r="C174" s="17" t="s">
        <v>1213</v>
      </c>
      <c r="D174" s="17" t="s">
        <v>2853</v>
      </c>
      <c r="E174" s="16" t="s">
        <v>2014</v>
      </c>
      <c r="F174" s="17" t="s">
        <v>2854</v>
      </c>
      <c r="G174" s="17" t="s">
        <v>2855</v>
      </c>
      <c r="H174" s="17" t="s">
        <v>2856</v>
      </c>
      <c r="I174" s="20" t="s">
        <v>2011</v>
      </c>
      <c r="J174" s="21"/>
    </row>
    <row r="175" spans="1:10" ht="27" customHeight="1" x14ac:dyDescent="0.25">
      <c r="A175" s="18" t="s">
        <v>2857</v>
      </c>
      <c r="B175" s="18" t="s">
        <v>1224</v>
      </c>
      <c r="C175" s="19" t="s">
        <v>1225</v>
      </c>
      <c r="D175" s="19" t="s">
        <v>2858</v>
      </c>
      <c r="E175" s="18" t="s">
        <v>2007</v>
      </c>
      <c r="F175" s="19" t="s">
        <v>2859</v>
      </c>
      <c r="G175" s="19" t="s">
        <v>2860</v>
      </c>
      <c r="H175" s="19" t="s">
        <v>2861</v>
      </c>
      <c r="I175" s="20" t="s">
        <v>2011</v>
      </c>
      <c r="J175" s="21"/>
    </row>
    <row r="176" spans="1:10" ht="27" customHeight="1" x14ac:dyDescent="0.25">
      <c r="A176" s="16" t="s">
        <v>2862</v>
      </c>
      <c r="B176" s="16" t="s">
        <v>1224</v>
      </c>
      <c r="C176" s="17" t="s">
        <v>1225</v>
      </c>
      <c r="D176" s="17" t="s">
        <v>2863</v>
      </c>
      <c r="E176" s="16" t="s">
        <v>2014</v>
      </c>
      <c r="F176" s="17" t="s">
        <v>2864</v>
      </c>
      <c r="G176" s="17" t="s">
        <v>2865</v>
      </c>
      <c r="H176" s="17" t="s">
        <v>2866</v>
      </c>
      <c r="I176" s="20" t="s">
        <v>2011</v>
      </c>
      <c r="J176" s="21"/>
    </row>
    <row r="177" spans="1:10" ht="27" customHeight="1" x14ac:dyDescent="0.25">
      <c r="A177" s="18" t="s">
        <v>2867</v>
      </c>
      <c r="B177" s="18" t="s">
        <v>1224</v>
      </c>
      <c r="C177" s="19" t="s">
        <v>1225</v>
      </c>
      <c r="D177" s="19" t="s">
        <v>2868</v>
      </c>
      <c r="E177" s="18" t="s">
        <v>2035</v>
      </c>
      <c r="F177" s="19" t="s">
        <v>2869</v>
      </c>
      <c r="G177" s="19" t="s">
        <v>2870</v>
      </c>
      <c r="H177" s="19" t="s">
        <v>2871</v>
      </c>
      <c r="I177" s="20" t="s">
        <v>2011</v>
      </c>
      <c r="J177" s="21"/>
    </row>
    <row r="178" spans="1:10" ht="27" customHeight="1" x14ac:dyDescent="0.25">
      <c r="A178" s="16" t="s">
        <v>2872</v>
      </c>
      <c r="B178" s="16" t="s">
        <v>1234</v>
      </c>
      <c r="C178" s="17" t="s">
        <v>1235</v>
      </c>
      <c r="D178" s="17" t="s">
        <v>2873</v>
      </c>
      <c r="E178" s="16" t="s">
        <v>2007</v>
      </c>
      <c r="F178" s="17" t="s">
        <v>2874</v>
      </c>
      <c r="G178" s="17" t="s">
        <v>2875</v>
      </c>
      <c r="H178" s="17" t="s">
        <v>2876</v>
      </c>
      <c r="I178" s="20" t="s">
        <v>2011</v>
      </c>
      <c r="J178" s="21"/>
    </row>
    <row r="179" spans="1:10" ht="27" customHeight="1" x14ac:dyDescent="0.25">
      <c r="A179" s="18" t="s">
        <v>2877</v>
      </c>
      <c r="B179" s="18" t="s">
        <v>1234</v>
      </c>
      <c r="C179" s="19" t="s">
        <v>1235</v>
      </c>
      <c r="D179" s="19" t="s">
        <v>2713</v>
      </c>
      <c r="E179" s="18" t="s">
        <v>2014</v>
      </c>
      <c r="F179" s="19" t="s">
        <v>2878</v>
      </c>
      <c r="G179" s="19" t="s">
        <v>2879</v>
      </c>
      <c r="H179" s="19" t="s">
        <v>2880</v>
      </c>
      <c r="I179" s="20" t="s">
        <v>2011</v>
      </c>
      <c r="J179" s="21"/>
    </row>
    <row r="180" spans="1:10" ht="27" customHeight="1" x14ac:dyDescent="0.25">
      <c r="A180" s="16" t="s">
        <v>2881</v>
      </c>
      <c r="B180" s="16" t="s">
        <v>1246</v>
      </c>
      <c r="C180" s="17" t="s">
        <v>1247</v>
      </c>
      <c r="D180" s="17" t="s">
        <v>2882</v>
      </c>
      <c r="E180" s="16" t="s">
        <v>2007</v>
      </c>
      <c r="F180" s="17" t="s">
        <v>2883</v>
      </c>
      <c r="G180" s="17" t="s">
        <v>2884</v>
      </c>
      <c r="H180" s="17" t="s">
        <v>2885</v>
      </c>
      <c r="I180" s="20" t="s">
        <v>2011</v>
      </c>
      <c r="J180" s="21"/>
    </row>
    <row r="181" spans="1:10" ht="27" customHeight="1" x14ac:dyDescent="0.25">
      <c r="A181" s="18" t="s">
        <v>2886</v>
      </c>
      <c r="B181" s="18" t="s">
        <v>1246</v>
      </c>
      <c r="C181" s="19" t="s">
        <v>1247</v>
      </c>
      <c r="D181" s="19" t="s">
        <v>2887</v>
      </c>
      <c r="E181" s="18" t="s">
        <v>2014</v>
      </c>
      <c r="F181" s="19" t="s">
        <v>2888</v>
      </c>
      <c r="G181" s="19" t="s">
        <v>2889</v>
      </c>
      <c r="H181" s="19" t="s">
        <v>2890</v>
      </c>
      <c r="I181" s="20" t="s">
        <v>2011</v>
      </c>
      <c r="J181" s="21"/>
    </row>
    <row r="182" spans="1:10" ht="27" customHeight="1" x14ac:dyDescent="0.25">
      <c r="A182" s="16" t="s">
        <v>2891</v>
      </c>
      <c r="B182" s="16" t="s">
        <v>1258</v>
      </c>
      <c r="C182" s="17" t="s">
        <v>1259</v>
      </c>
      <c r="D182" s="17" t="s">
        <v>2892</v>
      </c>
      <c r="E182" s="16" t="s">
        <v>2007</v>
      </c>
      <c r="F182" s="17" t="s">
        <v>2893</v>
      </c>
      <c r="G182" s="17" t="s">
        <v>2894</v>
      </c>
      <c r="H182" s="17" t="s">
        <v>2895</v>
      </c>
      <c r="I182" s="20" t="s">
        <v>2011</v>
      </c>
      <c r="J182" s="21"/>
    </row>
    <row r="183" spans="1:10" ht="27" customHeight="1" x14ac:dyDescent="0.25">
      <c r="A183" s="18" t="s">
        <v>2896</v>
      </c>
      <c r="B183" s="18" t="s">
        <v>1258</v>
      </c>
      <c r="C183" s="19" t="s">
        <v>1259</v>
      </c>
      <c r="D183" s="19" t="s">
        <v>2897</v>
      </c>
      <c r="E183" s="18" t="s">
        <v>2014</v>
      </c>
      <c r="F183" s="19" t="s">
        <v>2898</v>
      </c>
      <c r="G183" s="19" t="s">
        <v>2899</v>
      </c>
      <c r="H183" s="19" t="s">
        <v>2900</v>
      </c>
      <c r="I183" s="20" t="s">
        <v>2011</v>
      </c>
      <c r="J183" s="21"/>
    </row>
    <row r="184" spans="1:10" ht="27" customHeight="1" x14ac:dyDescent="0.25">
      <c r="A184" s="16" t="s">
        <v>2901</v>
      </c>
      <c r="B184" s="16" t="s">
        <v>1258</v>
      </c>
      <c r="C184" s="17" t="s">
        <v>1259</v>
      </c>
      <c r="D184" s="17" t="s">
        <v>2902</v>
      </c>
      <c r="E184" s="16" t="s">
        <v>2035</v>
      </c>
      <c r="F184" s="17" t="s">
        <v>2903</v>
      </c>
      <c r="G184" s="17" t="s">
        <v>2899</v>
      </c>
      <c r="H184" s="17" t="s">
        <v>2904</v>
      </c>
      <c r="I184" s="20" t="s">
        <v>2011</v>
      </c>
      <c r="J184" s="21"/>
    </row>
    <row r="185" spans="1:10" ht="27" customHeight="1" x14ac:dyDescent="0.25">
      <c r="A185" s="18" t="s">
        <v>2905</v>
      </c>
      <c r="B185" s="18" t="s">
        <v>1270</v>
      </c>
      <c r="C185" s="19" t="s">
        <v>1271</v>
      </c>
      <c r="D185" s="19" t="s">
        <v>2906</v>
      </c>
      <c r="E185" s="18" t="s">
        <v>2007</v>
      </c>
      <c r="F185" s="19" t="s">
        <v>2907</v>
      </c>
      <c r="G185" s="19" t="s">
        <v>2908</v>
      </c>
      <c r="H185" s="19" t="s">
        <v>2909</v>
      </c>
      <c r="I185" s="20" t="s">
        <v>2011</v>
      </c>
      <c r="J185" s="21"/>
    </row>
    <row r="186" spans="1:10" ht="27" customHeight="1" x14ac:dyDescent="0.25">
      <c r="A186" s="16" t="s">
        <v>2910</v>
      </c>
      <c r="B186" s="16" t="s">
        <v>1270</v>
      </c>
      <c r="C186" s="17" t="s">
        <v>1271</v>
      </c>
      <c r="D186" s="17" t="s">
        <v>2911</v>
      </c>
      <c r="E186" s="16" t="s">
        <v>2014</v>
      </c>
      <c r="F186" s="17" t="s">
        <v>2912</v>
      </c>
      <c r="G186" s="17" t="s">
        <v>2913</v>
      </c>
      <c r="H186" s="17" t="s">
        <v>2914</v>
      </c>
      <c r="I186" s="20" t="s">
        <v>2011</v>
      </c>
      <c r="J186" s="21"/>
    </row>
    <row r="187" spans="1:10" ht="27" customHeight="1" x14ac:dyDescent="0.25">
      <c r="A187" s="18" t="s">
        <v>2915</v>
      </c>
      <c r="B187" s="18" t="s">
        <v>1282</v>
      </c>
      <c r="C187" s="19" t="s">
        <v>1284</v>
      </c>
      <c r="D187" s="19" t="s">
        <v>2916</v>
      </c>
      <c r="E187" s="18" t="s">
        <v>2007</v>
      </c>
      <c r="F187" s="19" t="s">
        <v>2917</v>
      </c>
      <c r="G187" s="19" t="s">
        <v>2918</v>
      </c>
      <c r="H187" s="19" t="s">
        <v>2919</v>
      </c>
      <c r="I187" s="20" t="s">
        <v>2011</v>
      </c>
      <c r="J187" s="21"/>
    </row>
    <row r="188" spans="1:10" ht="27" customHeight="1" x14ac:dyDescent="0.25">
      <c r="A188" s="16" t="s">
        <v>2920</v>
      </c>
      <c r="B188" s="16" t="s">
        <v>1282</v>
      </c>
      <c r="C188" s="17" t="s">
        <v>1284</v>
      </c>
      <c r="D188" s="17" t="s">
        <v>2921</v>
      </c>
      <c r="E188" s="16" t="s">
        <v>2014</v>
      </c>
      <c r="F188" s="17" t="s">
        <v>2922</v>
      </c>
      <c r="G188" s="17" t="s">
        <v>2923</v>
      </c>
      <c r="H188" s="17" t="s">
        <v>2924</v>
      </c>
      <c r="I188" s="20" t="s">
        <v>2011</v>
      </c>
      <c r="J188" s="21"/>
    </row>
    <row r="189" spans="1:10" ht="27" customHeight="1" x14ac:dyDescent="0.25">
      <c r="A189" s="18" t="s">
        <v>2925</v>
      </c>
      <c r="B189" s="18" t="s">
        <v>1282</v>
      </c>
      <c r="C189" s="19" t="s">
        <v>1284</v>
      </c>
      <c r="D189" s="19" t="s">
        <v>2926</v>
      </c>
      <c r="E189" s="18" t="s">
        <v>2035</v>
      </c>
      <c r="F189" s="19" t="s">
        <v>2927</v>
      </c>
      <c r="G189" s="19" t="s">
        <v>2928</v>
      </c>
      <c r="H189" s="19" t="s">
        <v>2929</v>
      </c>
      <c r="I189" s="20" t="s">
        <v>2011</v>
      </c>
      <c r="J189" s="21"/>
    </row>
    <row r="190" spans="1:10" ht="27" customHeight="1" x14ac:dyDescent="0.25">
      <c r="A190" s="16" t="s">
        <v>2930</v>
      </c>
      <c r="B190" s="16" t="s">
        <v>1292</v>
      </c>
      <c r="C190" s="17" t="s">
        <v>1293</v>
      </c>
      <c r="D190" s="17" t="s">
        <v>2931</v>
      </c>
      <c r="E190" s="16" t="s">
        <v>2007</v>
      </c>
      <c r="F190" s="17" t="s">
        <v>2932</v>
      </c>
      <c r="G190" s="17" t="s">
        <v>2933</v>
      </c>
      <c r="H190" s="17" t="s">
        <v>2934</v>
      </c>
      <c r="I190" s="20" t="s">
        <v>2011</v>
      </c>
      <c r="J190" s="21"/>
    </row>
    <row r="191" spans="1:10" ht="27" customHeight="1" x14ac:dyDescent="0.25">
      <c r="A191" s="18" t="s">
        <v>2935</v>
      </c>
      <c r="B191" s="18" t="s">
        <v>1292</v>
      </c>
      <c r="C191" s="19" t="s">
        <v>1293</v>
      </c>
      <c r="D191" s="19" t="s">
        <v>2936</v>
      </c>
      <c r="E191" s="18" t="s">
        <v>2014</v>
      </c>
      <c r="F191" s="19" t="s">
        <v>2937</v>
      </c>
      <c r="G191" s="19" t="s">
        <v>2938</v>
      </c>
      <c r="H191" s="19" t="s">
        <v>2939</v>
      </c>
      <c r="I191" s="20" t="s">
        <v>2011</v>
      </c>
      <c r="J191" s="21"/>
    </row>
    <row r="192" spans="1:10" ht="27" customHeight="1" x14ac:dyDescent="0.25">
      <c r="A192" s="16" t="s">
        <v>2940</v>
      </c>
      <c r="B192" s="16" t="s">
        <v>1292</v>
      </c>
      <c r="C192" s="17" t="s">
        <v>1293</v>
      </c>
      <c r="D192" s="17" t="s">
        <v>2941</v>
      </c>
      <c r="E192" s="16" t="s">
        <v>2035</v>
      </c>
      <c r="F192" s="17" t="s">
        <v>2942</v>
      </c>
      <c r="G192" s="17" t="s">
        <v>2943</v>
      </c>
      <c r="H192" s="17" t="s">
        <v>2944</v>
      </c>
      <c r="I192" s="20" t="s">
        <v>2011</v>
      </c>
      <c r="J192" s="21"/>
    </row>
    <row r="193" spans="1:10" ht="27" customHeight="1" x14ac:dyDescent="0.25">
      <c r="A193" s="18" t="s">
        <v>2945</v>
      </c>
      <c r="B193" s="18" t="s">
        <v>1302</v>
      </c>
      <c r="C193" s="19" t="s">
        <v>1303</v>
      </c>
      <c r="D193" s="19" t="s">
        <v>2946</v>
      </c>
      <c r="E193" s="18" t="s">
        <v>2007</v>
      </c>
      <c r="F193" s="19" t="s">
        <v>2947</v>
      </c>
      <c r="G193" s="19" t="s">
        <v>2948</v>
      </c>
      <c r="H193" s="19" t="s">
        <v>2949</v>
      </c>
      <c r="I193" s="20" t="s">
        <v>2011</v>
      </c>
      <c r="J193" s="21"/>
    </row>
    <row r="194" spans="1:10" ht="27" customHeight="1" x14ac:dyDescent="0.25">
      <c r="A194" s="16" t="s">
        <v>2950</v>
      </c>
      <c r="B194" s="16" t="s">
        <v>1302</v>
      </c>
      <c r="C194" s="17" t="s">
        <v>1303</v>
      </c>
      <c r="D194" s="17" t="s">
        <v>2951</v>
      </c>
      <c r="E194" s="16" t="s">
        <v>2007</v>
      </c>
      <c r="F194" s="17" t="s">
        <v>2952</v>
      </c>
      <c r="G194" s="17" t="s">
        <v>2953</v>
      </c>
      <c r="H194" s="17" t="s">
        <v>2954</v>
      </c>
      <c r="I194" s="20" t="s">
        <v>2011</v>
      </c>
      <c r="J194" s="21"/>
    </row>
    <row r="195" spans="1:10" ht="27" customHeight="1" x14ac:dyDescent="0.25">
      <c r="A195" s="18" t="s">
        <v>2955</v>
      </c>
      <c r="B195" s="18" t="s">
        <v>1302</v>
      </c>
      <c r="C195" s="19" t="s">
        <v>1303</v>
      </c>
      <c r="D195" s="19" t="s">
        <v>2956</v>
      </c>
      <c r="E195" s="18" t="s">
        <v>2014</v>
      </c>
      <c r="F195" s="19" t="s">
        <v>2957</v>
      </c>
      <c r="G195" s="19" t="s">
        <v>2958</v>
      </c>
      <c r="H195" s="19" t="s">
        <v>2959</v>
      </c>
      <c r="I195" s="20" t="s">
        <v>2011</v>
      </c>
      <c r="J195" s="21"/>
    </row>
    <row r="196" spans="1:10" ht="27" customHeight="1" x14ac:dyDescent="0.25">
      <c r="A196" s="16" t="s">
        <v>2960</v>
      </c>
      <c r="B196" s="16" t="s">
        <v>1312</v>
      </c>
      <c r="C196" s="17" t="s">
        <v>1313</v>
      </c>
      <c r="D196" s="17" t="s">
        <v>2961</v>
      </c>
      <c r="E196" s="16" t="s">
        <v>2007</v>
      </c>
      <c r="F196" s="17" t="s">
        <v>2962</v>
      </c>
      <c r="G196" s="17" t="s">
        <v>2963</v>
      </c>
      <c r="H196" s="17" t="s">
        <v>2964</v>
      </c>
      <c r="I196" s="20" t="s">
        <v>2011</v>
      </c>
      <c r="J196" s="21"/>
    </row>
    <row r="197" spans="1:10" ht="27" customHeight="1" x14ac:dyDescent="0.25">
      <c r="A197" s="18" t="s">
        <v>2965</v>
      </c>
      <c r="B197" s="18" t="s">
        <v>1312</v>
      </c>
      <c r="C197" s="19" t="s">
        <v>1313</v>
      </c>
      <c r="D197" s="19" t="s">
        <v>2966</v>
      </c>
      <c r="E197" s="18" t="s">
        <v>2014</v>
      </c>
      <c r="F197" s="19" t="s">
        <v>2967</v>
      </c>
      <c r="G197" s="19" t="s">
        <v>2968</v>
      </c>
      <c r="H197" s="19" t="s">
        <v>2969</v>
      </c>
      <c r="I197" s="20" t="s">
        <v>2011</v>
      </c>
      <c r="J197" s="21"/>
    </row>
    <row r="198" spans="1:10" ht="27" customHeight="1" x14ac:dyDescent="0.25">
      <c r="A198" s="16" t="s">
        <v>2970</v>
      </c>
      <c r="B198" s="16" t="s">
        <v>1323</v>
      </c>
      <c r="C198" s="17" t="s">
        <v>1324</v>
      </c>
      <c r="D198" s="17" t="s">
        <v>2971</v>
      </c>
      <c r="E198" s="16" t="s">
        <v>2007</v>
      </c>
      <c r="F198" s="17" t="s">
        <v>2972</v>
      </c>
      <c r="G198" s="17" t="s">
        <v>2973</v>
      </c>
      <c r="H198" s="17" t="s">
        <v>2974</v>
      </c>
      <c r="I198" s="20" t="s">
        <v>2011</v>
      </c>
      <c r="J198" s="21"/>
    </row>
    <row r="199" spans="1:10" ht="27" customHeight="1" x14ac:dyDescent="0.25">
      <c r="A199" s="18" t="s">
        <v>2975</v>
      </c>
      <c r="B199" s="18" t="s">
        <v>1323</v>
      </c>
      <c r="C199" s="19" t="s">
        <v>1324</v>
      </c>
      <c r="D199" s="19" t="s">
        <v>2976</v>
      </c>
      <c r="E199" s="18" t="s">
        <v>2014</v>
      </c>
      <c r="F199" s="19" t="s">
        <v>2977</v>
      </c>
      <c r="G199" s="19" t="s">
        <v>2978</v>
      </c>
      <c r="H199" s="19" t="s">
        <v>2979</v>
      </c>
      <c r="I199" s="20" t="s">
        <v>2011</v>
      </c>
      <c r="J199" s="21"/>
    </row>
    <row r="200" spans="1:10" ht="27" customHeight="1" x14ac:dyDescent="0.25">
      <c r="A200" s="16" t="s">
        <v>2980</v>
      </c>
      <c r="B200" s="16" t="s">
        <v>1333</v>
      </c>
      <c r="C200" s="17" t="s">
        <v>1334</v>
      </c>
      <c r="D200" s="17" t="s">
        <v>2981</v>
      </c>
      <c r="E200" s="16" t="s">
        <v>2007</v>
      </c>
      <c r="F200" s="17" t="s">
        <v>2982</v>
      </c>
      <c r="G200" s="17" t="s">
        <v>2983</v>
      </c>
      <c r="H200" s="17" t="s">
        <v>2984</v>
      </c>
      <c r="I200" s="20" t="s">
        <v>2011</v>
      </c>
      <c r="J200" s="21"/>
    </row>
    <row r="201" spans="1:10" ht="27" customHeight="1" x14ac:dyDescent="0.25">
      <c r="A201" s="18" t="s">
        <v>2985</v>
      </c>
      <c r="B201" s="18" t="s">
        <v>1333</v>
      </c>
      <c r="C201" s="19" t="s">
        <v>1334</v>
      </c>
      <c r="D201" s="19" t="s">
        <v>2986</v>
      </c>
      <c r="E201" s="18" t="s">
        <v>2014</v>
      </c>
      <c r="F201" s="19" t="s">
        <v>2987</v>
      </c>
      <c r="G201" s="19" t="s">
        <v>2988</v>
      </c>
      <c r="H201" s="19" t="s">
        <v>2989</v>
      </c>
      <c r="I201" s="20" t="s">
        <v>2011</v>
      </c>
      <c r="J201" s="21"/>
    </row>
    <row r="202" spans="1:10" ht="27" customHeight="1" x14ac:dyDescent="0.25">
      <c r="A202" s="16" t="s">
        <v>2990</v>
      </c>
      <c r="B202" s="16" t="s">
        <v>1344</v>
      </c>
      <c r="C202" s="17" t="s">
        <v>1346</v>
      </c>
      <c r="D202" s="17" t="s">
        <v>2991</v>
      </c>
      <c r="E202" s="16" t="s">
        <v>2007</v>
      </c>
      <c r="F202" s="17" t="s">
        <v>2992</v>
      </c>
      <c r="G202" s="17" t="s">
        <v>2993</v>
      </c>
      <c r="H202" s="17" t="s">
        <v>2994</v>
      </c>
      <c r="I202" s="20" t="s">
        <v>2011</v>
      </c>
      <c r="J202" s="21"/>
    </row>
    <row r="203" spans="1:10" ht="27" customHeight="1" x14ac:dyDescent="0.25">
      <c r="A203" s="18" t="s">
        <v>2995</v>
      </c>
      <c r="B203" s="18" t="s">
        <v>1344</v>
      </c>
      <c r="C203" s="19" t="s">
        <v>1346</v>
      </c>
      <c r="D203" s="19" t="s">
        <v>2996</v>
      </c>
      <c r="E203" s="18" t="s">
        <v>2014</v>
      </c>
      <c r="F203" s="19" t="s">
        <v>2997</v>
      </c>
      <c r="G203" s="19" t="s">
        <v>2998</v>
      </c>
      <c r="H203" s="19" t="s">
        <v>2999</v>
      </c>
      <c r="I203" s="20" t="s">
        <v>2011</v>
      </c>
      <c r="J203" s="21"/>
    </row>
    <row r="204" spans="1:10" ht="27" customHeight="1" x14ac:dyDescent="0.25">
      <c r="A204" s="16" t="s">
        <v>3000</v>
      </c>
      <c r="B204" s="16" t="s">
        <v>1344</v>
      </c>
      <c r="C204" s="17" t="s">
        <v>1346</v>
      </c>
      <c r="D204" s="17" t="s">
        <v>3001</v>
      </c>
      <c r="E204" s="16" t="s">
        <v>2035</v>
      </c>
      <c r="F204" s="17" t="s">
        <v>3002</v>
      </c>
      <c r="G204" s="17" t="s">
        <v>3003</v>
      </c>
      <c r="H204" s="17" t="s">
        <v>3004</v>
      </c>
      <c r="I204" s="20" t="s">
        <v>2011</v>
      </c>
      <c r="J204" s="21"/>
    </row>
    <row r="205" spans="1:10" ht="27" customHeight="1" x14ac:dyDescent="0.25">
      <c r="A205" s="18" t="s">
        <v>3005</v>
      </c>
      <c r="B205" s="18" t="s">
        <v>1357</v>
      </c>
      <c r="C205" s="19" t="s">
        <v>1358</v>
      </c>
      <c r="D205" s="19" t="s">
        <v>3006</v>
      </c>
      <c r="E205" s="18" t="s">
        <v>2007</v>
      </c>
      <c r="F205" s="19" t="s">
        <v>3007</v>
      </c>
      <c r="G205" s="19" t="s">
        <v>3008</v>
      </c>
      <c r="H205" s="19" t="s">
        <v>3009</v>
      </c>
      <c r="I205" s="20" t="s">
        <v>2011</v>
      </c>
      <c r="J205" s="21"/>
    </row>
    <row r="206" spans="1:10" ht="27" customHeight="1" x14ac:dyDescent="0.25">
      <c r="A206" s="16" t="s">
        <v>3010</v>
      </c>
      <c r="B206" s="16" t="s">
        <v>1357</v>
      </c>
      <c r="C206" s="17" t="s">
        <v>1358</v>
      </c>
      <c r="D206" s="17" t="s">
        <v>3011</v>
      </c>
      <c r="E206" s="16" t="s">
        <v>2035</v>
      </c>
      <c r="F206" s="17" t="s">
        <v>3012</v>
      </c>
      <c r="G206" s="17" t="s">
        <v>3013</v>
      </c>
      <c r="H206" s="17" t="s">
        <v>3014</v>
      </c>
      <c r="I206" s="20" t="s">
        <v>2011</v>
      </c>
      <c r="J206" s="21"/>
    </row>
    <row r="207" spans="1:10" ht="27" customHeight="1" x14ac:dyDescent="0.25">
      <c r="A207" s="18" t="s">
        <v>3015</v>
      </c>
      <c r="B207" s="18" t="s">
        <v>1367</v>
      </c>
      <c r="C207" s="19" t="s">
        <v>1368</v>
      </c>
      <c r="D207" s="19" t="s">
        <v>3016</v>
      </c>
      <c r="E207" s="18" t="s">
        <v>2007</v>
      </c>
      <c r="F207" s="19" t="s">
        <v>3017</v>
      </c>
      <c r="G207" s="19" t="s">
        <v>3018</v>
      </c>
      <c r="H207" s="19" t="s">
        <v>3019</v>
      </c>
      <c r="I207" s="20" t="s">
        <v>2011</v>
      </c>
      <c r="J207" s="21"/>
    </row>
    <row r="208" spans="1:10" ht="27" customHeight="1" x14ac:dyDescent="0.25">
      <c r="A208" s="16" t="s">
        <v>3020</v>
      </c>
      <c r="B208" s="16" t="s">
        <v>1367</v>
      </c>
      <c r="C208" s="17" t="s">
        <v>1368</v>
      </c>
      <c r="D208" s="17" t="s">
        <v>3021</v>
      </c>
      <c r="E208" s="16" t="s">
        <v>2014</v>
      </c>
      <c r="F208" s="17" t="s">
        <v>3022</v>
      </c>
      <c r="G208" s="17" t="s">
        <v>3023</v>
      </c>
      <c r="H208" s="17" t="s">
        <v>3024</v>
      </c>
      <c r="I208" s="20" t="s">
        <v>2011</v>
      </c>
      <c r="J208" s="21"/>
    </row>
    <row r="209" spans="1:10" ht="27" customHeight="1" x14ac:dyDescent="0.25">
      <c r="A209" s="18" t="s">
        <v>3025</v>
      </c>
      <c r="B209" s="18" t="s">
        <v>1367</v>
      </c>
      <c r="C209" s="19" t="s">
        <v>1368</v>
      </c>
      <c r="D209" s="19" t="s">
        <v>3026</v>
      </c>
      <c r="E209" s="18" t="s">
        <v>2035</v>
      </c>
      <c r="F209" s="19" t="s">
        <v>3027</v>
      </c>
      <c r="G209" s="19" t="s">
        <v>3028</v>
      </c>
      <c r="H209" s="19" t="s">
        <v>3029</v>
      </c>
      <c r="I209" s="20" t="s">
        <v>2011</v>
      </c>
      <c r="J209" s="21"/>
    </row>
    <row r="210" spans="1:10" ht="27" customHeight="1" x14ac:dyDescent="0.25">
      <c r="A210" s="16" t="s">
        <v>3030</v>
      </c>
      <c r="B210" s="16" t="s">
        <v>1378</v>
      </c>
      <c r="C210" s="17" t="s">
        <v>1379</v>
      </c>
      <c r="D210" s="17" t="s">
        <v>3031</v>
      </c>
      <c r="E210" s="16" t="s">
        <v>2007</v>
      </c>
      <c r="F210" s="17" t="s">
        <v>3032</v>
      </c>
      <c r="G210" s="17" t="s">
        <v>3033</v>
      </c>
      <c r="H210" s="17" t="s">
        <v>3034</v>
      </c>
      <c r="I210" s="20" t="s">
        <v>2011</v>
      </c>
      <c r="J210" s="21"/>
    </row>
    <row r="211" spans="1:10" ht="27" customHeight="1" x14ac:dyDescent="0.25">
      <c r="A211" s="18" t="s">
        <v>3035</v>
      </c>
      <c r="B211" s="18" t="s">
        <v>1378</v>
      </c>
      <c r="C211" s="19" t="s">
        <v>1379</v>
      </c>
      <c r="D211" s="19" t="s">
        <v>3036</v>
      </c>
      <c r="E211" s="18" t="s">
        <v>2014</v>
      </c>
      <c r="F211" s="19" t="s">
        <v>3037</v>
      </c>
      <c r="G211" s="19" t="s">
        <v>3038</v>
      </c>
      <c r="H211" s="19" t="s">
        <v>3039</v>
      </c>
      <c r="I211" s="20" t="s">
        <v>2011</v>
      </c>
      <c r="J211" s="21"/>
    </row>
    <row r="212" spans="1:10" ht="27" customHeight="1" x14ac:dyDescent="0.25">
      <c r="A212" s="16" t="s">
        <v>3040</v>
      </c>
      <c r="B212" s="16" t="s">
        <v>1389</v>
      </c>
      <c r="C212" s="17" t="s">
        <v>1391</v>
      </c>
      <c r="D212" s="17" t="s">
        <v>3041</v>
      </c>
      <c r="E212" s="16" t="s">
        <v>2007</v>
      </c>
      <c r="F212" s="17" t="s">
        <v>3042</v>
      </c>
      <c r="G212" s="17" t="s">
        <v>3043</v>
      </c>
      <c r="H212" s="17" t="s">
        <v>3044</v>
      </c>
      <c r="I212" s="20" t="s">
        <v>2011</v>
      </c>
      <c r="J212" s="21"/>
    </row>
    <row r="213" spans="1:10" ht="27" customHeight="1" x14ac:dyDescent="0.25">
      <c r="A213" s="18" t="s">
        <v>3045</v>
      </c>
      <c r="B213" s="18" t="s">
        <v>1389</v>
      </c>
      <c r="C213" s="19" t="s">
        <v>1391</v>
      </c>
      <c r="D213" s="19" t="s">
        <v>3046</v>
      </c>
      <c r="E213" s="18" t="s">
        <v>2014</v>
      </c>
      <c r="F213" s="19" t="s">
        <v>3047</v>
      </c>
      <c r="G213" s="19" t="s">
        <v>3048</v>
      </c>
      <c r="H213" s="19" t="s">
        <v>3049</v>
      </c>
      <c r="I213" s="20" t="s">
        <v>2011</v>
      </c>
      <c r="J213" s="21"/>
    </row>
    <row r="214" spans="1:10" ht="27" customHeight="1" x14ac:dyDescent="0.25">
      <c r="A214" s="16" t="s">
        <v>3050</v>
      </c>
      <c r="B214" s="16" t="s">
        <v>1400</v>
      </c>
      <c r="C214" s="17" t="s">
        <v>1401</v>
      </c>
      <c r="D214" s="17" t="s">
        <v>3051</v>
      </c>
      <c r="E214" s="16" t="s">
        <v>2007</v>
      </c>
      <c r="F214" s="17" t="s">
        <v>3052</v>
      </c>
      <c r="G214" s="17" t="s">
        <v>3053</v>
      </c>
      <c r="H214" s="17" t="s">
        <v>3054</v>
      </c>
      <c r="I214" s="20" t="s">
        <v>2011</v>
      </c>
      <c r="J214" s="21"/>
    </row>
    <row r="215" spans="1:10" ht="27" customHeight="1" x14ac:dyDescent="0.25">
      <c r="A215" s="18" t="s">
        <v>3055</v>
      </c>
      <c r="B215" s="18" t="s">
        <v>1400</v>
      </c>
      <c r="C215" s="19" t="s">
        <v>1401</v>
      </c>
      <c r="D215" s="19" t="s">
        <v>3056</v>
      </c>
      <c r="E215" s="18" t="s">
        <v>2035</v>
      </c>
      <c r="F215" s="19" t="s">
        <v>3057</v>
      </c>
      <c r="G215" s="19" t="s">
        <v>3058</v>
      </c>
      <c r="H215" s="19" t="s">
        <v>3059</v>
      </c>
      <c r="I215" s="20" t="s">
        <v>2011</v>
      </c>
      <c r="J215" s="21"/>
    </row>
    <row r="216" spans="1:10" ht="27" customHeight="1" x14ac:dyDescent="0.25">
      <c r="A216" s="16" t="s">
        <v>3060</v>
      </c>
      <c r="B216" s="16" t="s">
        <v>1409</v>
      </c>
      <c r="C216" s="17" t="s">
        <v>1410</v>
      </c>
      <c r="D216" s="17" t="s">
        <v>3061</v>
      </c>
      <c r="E216" s="16" t="s">
        <v>2007</v>
      </c>
      <c r="F216" s="17" t="s">
        <v>3062</v>
      </c>
      <c r="G216" s="17" t="s">
        <v>3063</v>
      </c>
      <c r="H216" s="17" t="s">
        <v>3064</v>
      </c>
      <c r="I216" s="20" t="s">
        <v>2011</v>
      </c>
      <c r="J216" s="21"/>
    </row>
    <row r="217" spans="1:10" ht="27" customHeight="1" x14ac:dyDescent="0.25">
      <c r="A217" s="18" t="s">
        <v>3065</v>
      </c>
      <c r="B217" s="18" t="s">
        <v>1409</v>
      </c>
      <c r="C217" s="19" t="s">
        <v>1410</v>
      </c>
      <c r="D217" s="19" t="s">
        <v>3066</v>
      </c>
      <c r="E217" s="18" t="s">
        <v>2014</v>
      </c>
      <c r="F217" s="19" t="s">
        <v>3067</v>
      </c>
      <c r="G217" s="19" t="s">
        <v>3068</v>
      </c>
      <c r="H217" s="19" t="s">
        <v>3069</v>
      </c>
      <c r="I217" s="20" t="s">
        <v>2011</v>
      </c>
      <c r="J217" s="21"/>
    </row>
    <row r="218" spans="1:10" ht="27" customHeight="1" x14ac:dyDescent="0.25">
      <c r="A218" s="16" t="s">
        <v>3070</v>
      </c>
      <c r="B218" s="16" t="s">
        <v>1418</v>
      </c>
      <c r="C218" s="17" t="s">
        <v>1419</v>
      </c>
      <c r="D218" s="17" t="s">
        <v>3071</v>
      </c>
      <c r="E218" s="16" t="s">
        <v>2007</v>
      </c>
      <c r="F218" s="17" t="s">
        <v>3072</v>
      </c>
      <c r="G218" s="17" t="s">
        <v>3073</v>
      </c>
      <c r="H218" s="17" t="s">
        <v>3074</v>
      </c>
      <c r="I218" s="20" t="s">
        <v>2011</v>
      </c>
      <c r="J218" s="21"/>
    </row>
    <row r="219" spans="1:10" ht="27" customHeight="1" x14ac:dyDescent="0.25">
      <c r="A219" s="18" t="s">
        <v>3075</v>
      </c>
      <c r="B219" s="18" t="s">
        <v>1418</v>
      </c>
      <c r="C219" s="19" t="s">
        <v>1419</v>
      </c>
      <c r="D219" s="19" t="s">
        <v>3076</v>
      </c>
      <c r="E219" s="18" t="s">
        <v>2014</v>
      </c>
      <c r="F219" s="19" t="s">
        <v>3077</v>
      </c>
      <c r="G219" s="19" t="s">
        <v>3073</v>
      </c>
      <c r="H219" s="19" t="s">
        <v>3078</v>
      </c>
      <c r="I219" s="20" t="s">
        <v>2011</v>
      </c>
      <c r="J219" s="21"/>
    </row>
    <row r="220" spans="1:10" ht="27" customHeight="1" x14ac:dyDescent="0.25">
      <c r="A220" s="16" t="s">
        <v>3079</v>
      </c>
      <c r="B220" s="16" t="s">
        <v>1430</v>
      </c>
      <c r="C220" s="17" t="s">
        <v>1431</v>
      </c>
      <c r="D220" s="17" t="s">
        <v>3080</v>
      </c>
      <c r="E220" s="16" t="s">
        <v>2007</v>
      </c>
      <c r="F220" s="17" t="s">
        <v>3081</v>
      </c>
      <c r="G220" s="17" t="s">
        <v>3082</v>
      </c>
      <c r="H220" s="17" t="s">
        <v>3083</v>
      </c>
      <c r="I220" s="20" t="s">
        <v>2011</v>
      </c>
      <c r="J220" s="21"/>
    </row>
    <row r="221" spans="1:10" ht="27" customHeight="1" x14ac:dyDescent="0.25">
      <c r="A221" s="18" t="s">
        <v>3084</v>
      </c>
      <c r="B221" s="18" t="s">
        <v>1430</v>
      </c>
      <c r="C221" s="19" t="s">
        <v>1431</v>
      </c>
      <c r="D221" s="19" t="s">
        <v>3085</v>
      </c>
      <c r="E221" s="18" t="s">
        <v>2014</v>
      </c>
      <c r="F221" s="19" t="s">
        <v>3086</v>
      </c>
      <c r="G221" s="19" t="s">
        <v>3087</v>
      </c>
      <c r="H221" s="19" t="s">
        <v>3088</v>
      </c>
      <c r="I221" s="20" t="s">
        <v>2011</v>
      </c>
      <c r="J221" s="21"/>
    </row>
    <row r="222" spans="1:10" ht="27" customHeight="1" x14ac:dyDescent="0.25">
      <c r="A222" s="16" t="s">
        <v>3089</v>
      </c>
      <c r="B222" s="16" t="s">
        <v>1442</v>
      </c>
      <c r="C222" s="17" t="s">
        <v>1443</v>
      </c>
      <c r="D222" s="17" t="s">
        <v>3090</v>
      </c>
      <c r="E222" s="16" t="s">
        <v>2007</v>
      </c>
      <c r="F222" s="17" t="s">
        <v>3091</v>
      </c>
      <c r="G222" s="17" t="s">
        <v>3092</v>
      </c>
      <c r="H222" s="17" t="s">
        <v>3093</v>
      </c>
      <c r="I222" s="20" t="s">
        <v>2011</v>
      </c>
      <c r="J222" s="21"/>
    </row>
    <row r="223" spans="1:10" ht="27" customHeight="1" x14ac:dyDescent="0.25">
      <c r="A223" s="18" t="s">
        <v>3094</v>
      </c>
      <c r="B223" s="18" t="s">
        <v>1442</v>
      </c>
      <c r="C223" s="19" t="s">
        <v>1443</v>
      </c>
      <c r="D223" s="19" t="s">
        <v>3095</v>
      </c>
      <c r="E223" s="18" t="s">
        <v>2035</v>
      </c>
      <c r="F223" s="19" t="s">
        <v>3096</v>
      </c>
      <c r="G223" s="19" t="s">
        <v>3097</v>
      </c>
      <c r="H223" s="19" t="s">
        <v>3098</v>
      </c>
      <c r="I223" s="20" t="s">
        <v>2011</v>
      </c>
      <c r="J223" s="21"/>
    </row>
    <row r="224" spans="1:10" ht="27" customHeight="1" x14ac:dyDescent="0.25">
      <c r="A224" s="16" t="s">
        <v>3099</v>
      </c>
      <c r="B224" s="16" t="s">
        <v>1451</v>
      </c>
      <c r="C224" s="17" t="s">
        <v>1452</v>
      </c>
      <c r="D224" s="17" t="s">
        <v>3100</v>
      </c>
      <c r="E224" s="16" t="s">
        <v>2007</v>
      </c>
      <c r="F224" s="17" t="s">
        <v>3101</v>
      </c>
      <c r="G224" s="17" t="s">
        <v>3102</v>
      </c>
      <c r="H224" s="17" t="s">
        <v>3103</v>
      </c>
      <c r="I224" s="20" t="s">
        <v>2011</v>
      </c>
      <c r="J224" s="21"/>
    </row>
    <row r="225" spans="1:10" ht="27" customHeight="1" x14ac:dyDescent="0.25">
      <c r="A225" s="18" t="s">
        <v>3104</v>
      </c>
      <c r="B225" s="18" t="s">
        <v>1451</v>
      </c>
      <c r="C225" s="19" t="s">
        <v>1452</v>
      </c>
      <c r="D225" s="19" t="s">
        <v>3105</v>
      </c>
      <c r="E225" s="18" t="s">
        <v>2014</v>
      </c>
      <c r="F225" s="19" t="s">
        <v>3106</v>
      </c>
      <c r="G225" s="19" t="s">
        <v>3107</v>
      </c>
      <c r="H225" s="19" t="s">
        <v>3108</v>
      </c>
      <c r="I225" s="20" t="s">
        <v>2011</v>
      </c>
      <c r="J225" s="21"/>
    </row>
    <row r="226" spans="1:10" ht="27" customHeight="1" x14ac:dyDescent="0.25">
      <c r="A226" s="16" t="s">
        <v>3109</v>
      </c>
      <c r="B226" s="16" t="s">
        <v>1462</v>
      </c>
      <c r="C226" s="17" t="s">
        <v>1463</v>
      </c>
      <c r="D226" s="17" t="s">
        <v>3110</v>
      </c>
      <c r="E226" s="16" t="s">
        <v>2007</v>
      </c>
      <c r="F226" s="17" t="s">
        <v>3111</v>
      </c>
      <c r="G226" s="17" t="s">
        <v>3112</v>
      </c>
      <c r="H226" s="17" t="s">
        <v>3113</v>
      </c>
      <c r="I226" s="20" t="s">
        <v>2011</v>
      </c>
      <c r="J226" s="21"/>
    </row>
    <row r="227" spans="1:10" ht="27" customHeight="1" x14ac:dyDescent="0.25">
      <c r="A227" s="18" t="s">
        <v>3114</v>
      </c>
      <c r="B227" s="18" t="s">
        <v>1462</v>
      </c>
      <c r="C227" s="19" t="s">
        <v>1463</v>
      </c>
      <c r="D227" s="19" t="s">
        <v>3115</v>
      </c>
      <c r="E227" s="18" t="s">
        <v>2035</v>
      </c>
      <c r="F227" s="19" t="s">
        <v>3116</v>
      </c>
      <c r="G227" s="19" t="s">
        <v>3117</v>
      </c>
      <c r="H227" s="19" t="s">
        <v>3118</v>
      </c>
      <c r="I227" s="20" t="s">
        <v>2011</v>
      </c>
      <c r="J227" s="21"/>
    </row>
    <row r="228" spans="1:10" ht="27" customHeight="1" x14ac:dyDescent="0.25">
      <c r="A228" s="16" t="s">
        <v>3119</v>
      </c>
      <c r="B228" s="16" t="s">
        <v>1472</v>
      </c>
      <c r="C228" s="17" t="s">
        <v>1474</v>
      </c>
      <c r="D228" s="17" t="s">
        <v>3120</v>
      </c>
      <c r="E228" s="16" t="s">
        <v>2007</v>
      </c>
      <c r="F228" s="17" t="s">
        <v>3121</v>
      </c>
      <c r="G228" s="17" t="s">
        <v>3122</v>
      </c>
      <c r="H228" s="17" t="s">
        <v>3123</v>
      </c>
      <c r="I228" s="20" t="s">
        <v>2011</v>
      </c>
      <c r="J228" s="21"/>
    </row>
    <row r="229" spans="1:10" ht="27" customHeight="1" x14ac:dyDescent="0.25">
      <c r="A229" s="18" t="s">
        <v>3124</v>
      </c>
      <c r="B229" s="18" t="s">
        <v>1472</v>
      </c>
      <c r="C229" s="19" t="s">
        <v>1474</v>
      </c>
      <c r="D229" s="19" t="s">
        <v>2477</v>
      </c>
      <c r="E229" s="18" t="s">
        <v>2014</v>
      </c>
      <c r="F229" s="19" t="s">
        <v>3125</v>
      </c>
      <c r="G229" s="19" t="s">
        <v>3126</v>
      </c>
      <c r="H229" s="19" t="s">
        <v>3127</v>
      </c>
      <c r="I229" s="20" t="s">
        <v>2011</v>
      </c>
      <c r="J229" s="21"/>
    </row>
    <row r="230" spans="1:10" ht="27" customHeight="1" x14ac:dyDescent="0.25">
      <c r="A230" s="16" t="s">
        <v>3128</v>
      </c>
      <c r="B230" s="16" t="s">
        <v>1472</v>
      </c>
      <c r="C230" s="17" t="s">
        <v>1474</v>
      </c>
      <c r="D230" s="17" t="s">
        <v>3129</v>
      </c>
      <c r="E230" s="16" t="s">
        <v>2014</v>
      </c>
      <c r="F230" s="17" t="s">
        <v>3130</v>
      </c>
      <c r="G230" s="17" t="s">
        <v>3131</v>
      </c>
      <c r="H230" s="17" t="s">
        <v>3132</v>
      </c>
      <c r="I230" s="20" t="s">
        <v>2011</v>
      </c>
      <c r="J230" s="21"/>
    </row>
    <row r="231" spans="1:10" ht="27" customHeight="1" x14ac:dyDescent="0.25">
      <c r="A231" s="18" t="s">
        <v>3133</v>
      </c>
      <c r="B231" s="18" t="s">
        <v>1483</v>
      </c>
      <c r="C231" s="19" t="s">
        <v>1484</v>
      </c>
      <c r="D231" s="19" t="s">
        <v>3134</v>
      </c>
      <c r="E231" s="18" t="s">
        <v>2007</v>
      </c>
      <c r="F231" s="19" t="s">
        <v>3135</v>
      </c>
      <c r="G231" s="19" t="s">
        <v>3136</v>
      </c>
      <c r="H231" s="19" t="s">
        <v>3137</v>
      </c>
      <c r="I231" s="20" t="s">
        <v>2011</v>
      </c>
      <c r="J231" s="21"/>
    </row>
    <row r="232" spans="1:10" ht="27" customHeight="1" x14ac:dyDescent="0.25">
      <c r="A232" s="16" t="s">
        <v>3138</v>
      </c>
      <c r="B232" s="16" t="s">
        <v>1483</v>
      </c>
      <c r="C232" s="17" t="s">
        <v>1484</v>
      </c>
      <c r="D232" s="17" t="s">
        <v>3139</v>
      </c>
      <c r="E232" s="16" t="s">
        <v>2035</v>
      </c>
      <c r="F232" s="17" t="s">
        <v>3140</v>
      </c>
      <c r="G232" s="17" t="s">
        <v>3141</v>
      </c>
      <c r="H232" s="17" t="s">
        <v>3142</v>
      </c>
      <c r="I232" s="20" t="s">
        <v>2011</v>
      </c>
      <c r="J232" s="21"/>
    </row>
    <row r="233" spans="1:10" ht="27" customHeight="1" x14ac:dyDescent="0.25">
      <c r="A233" s="18" t="s">
        <v>3143</v>
      </c>
      <c r="B233" s="18" t="s">
        <v>1483</v>
      </c>
      <c r="C233" s="19" t="s">
        <v>1484</v>
      </c>
      <c r="D233" s="19" t="s">
        <v>3144</v>
      </c>
      <c r="E233" s="18" t="s">
        <v>2035</v>
      </c>
      <c r="F233" s="19" t="s">
        <v>3145</v>
      </c>
      <c r="G233" s="19" t="s">
        <v>3146</v>
      </c>
      <c r="H233" s="19" t="s">
        <v>3147</v>
      </c>
      <c r="I233" s="20" t="s">
        <v>2011</v>
      </c>
      <c r="J233" s="21"/>
    </row>
    <row r="234" spans="1:10" ht="27" customHeight="1" x14ac:dyDescent="0.25">
      <c r="A234" s="16" t="s">
        <v>3148</v>
      </c>
      <c r="B234" s="16" t="s">
        <v>1495</v>
      </c>
      <c r="C234" s="17" t="s">
        <v>1496</v>
      </c>
      <c r="D234" s="17" t="s">
        <v>3149</v>
      </c>
      <c r="E234" s="16" t="s">
        <v>2007</v>
      </c>
      <c r="F234" s="17" t="s">
        <v>3150</v>
      </c>
      <c r="G234" s="17" t="s">
        <v>3151</v>
      </c>
      <c r="H234" s="17" t="s">
        <v>3152</v>
      </c>
      <c r="I234" s="20" t="s">
        <v>2011</v>
      </c>
      <c r="J234" s="21"/>
    </row>
    <row r="235" spans="1:10" ht="27" customHeight="1" x14ac:dyDescent="0.25">
      <c r="A235" s="18" t="s">
        <v>3153</v>
      </c>
      <c r="B235" s="18" t="s">
        <v>1495</v>
      </c>
      <c r="C235" s="19" t="s">
        <v>1496</v>
      </c>
      <c r="D235" s="19" t="s">
        <v>3154</v>
      </c>
      <c r="E235" s="18" t="s">
        <v>2014</v>
      </c>
      <c r="F235" s="19" t="s">
        <v>3155</v>
      </c>
      <c r="G235" s="19" t="s">
        <v>3156</v>
      </c>
      <c r="H235" s="19" t="s">
        <v>3157</v>
      </c>
      <c r="I235" s="20" t="s">
        <v>2011</v>
      </c>
      <c r="J235" s="21"/>
    </row>
    <row r="236" spans="1:10" ht="27" customHeight="1" x14ac:dyDescent="0.25">
      <c r="A236" s="16" t="s">
        <v>3158</v>
      </c>
      <c r="B236" s="16" t="s">
        <v>1505</v>
      </c>
      <c r="C236" s="17" t="s">
        <v>1506</v>
      </c>
      <c r="D236" s="17" t="s">
        <v>3159</v>
      </c>
      <c r="E236" s="16" t="s">
        <v>2007</v>
      </c>
      <c r="F236" s="17" t="s">
        <v>3160</v>
      </c>
      <c r="G236" s="17" t="s">
        <v>3161</v>
      </c>
      <c r="H236" s="17" t="s">
        <v>3162</v>
      </c>
      <c r="I236" s="20" t="s">
        <v>2011</v>
      </c>
      <c r="J236" s="21"/>
    </row>
    <row r="237" spans="1:10" ht="27" customHeight="1" x14ac:dyDescent="0.25">
      <c r="A237" s="18" t="s">
        <v>3163</v>
      </c>
      <c r="B237" s="18" t="s">
        <v>1505</v>
      </c>
      <c r="C237" s="19" t="s">
        <v>1506</v>
      </c>
      <c r="D237" s="19" t="s">
        <v>3164</v>
      </c>
      <c r="E237" s="18" t="s">
        <v>2035</v>
      </c>
      <c r="F237" s="19" t="s">
        <v>3165</v>
      </c>
      <c r="G237" s="19" t="s">
        <v>3166</v>
      </c>
      <c r="H237" s="19" t="s">
        <v>3167</v>
      </c>
      <c r="I237" s="20" t="s">
        <v>2011</v>
      </c>
      <c r="J237" s="21"/>
    </row>
    <row r="238" spans="1:10" ht="27" customHeight="1" x14ac:dyDescent="0.25">
      <c r="A238" s="16" t="s">
        <v>3168</v>
      </c>
      <c r="B238" s="16" t="s">
        <v>1516</v>
      </c>
      <c r="C238" s="17" t="s">
        <v>1518</v>
      </c>
      <c r="D238" s="17" t="s">
        <v>3169</v>
      </c>
      <c r="E238" s="16" t="s">
        <v>2007</v>
      </c>
      <c r="F238" s="17" t="s">
        <v>3170</v>
      </c>
      <c r="G238" s="17" t="s">
        <v>2396</v>
      </c>
      <c r="H238" s="17" t="s">
        <v>3171</v>
      </c>
      <c r="I238" s="20" t="s">
        <v>2011</v>
      </c>
      <c r="J238" s="21"/>
    </row>
    <row r="239" spans="1:10" ht="27" customHeight="1" x14ac:dyDescent="0.25">
      <c r="A239" s="18" t="s">
        <v>3172</v>
      </c>
      <c r="B239" s="18" t="s">
        <v>1516</v>
      </c>
      <c r="C239" s="19" t="s">
        <v>1518</v>
      </c>
      <c r="D239" s="19" t="s">
        <v>3173</v>
      </c>
      <c r="E239" s="18" t="s">
        <v>2014</v>
      </c>
      <c r="F239" s="19" t="s">
        <v>3174</v>
      </c>
      <c r="G239" s="19" t="s">
        <v>2396</v>
      </c>
      <c r="H239" s="19" t="s">
        <v>3175</v>
      </c>
      <c r="I239" s="20" t="s">
        <v>2011</v>
      </c>
      <c r="J239" s="21"/>
    </row>
    <row r="240" spans="1:10" ht="27" customHeight="1" x14ac:dyDescent="0.25">
      <c r="A240" s="16" t="s">
        <v>3176</v>
      </c>
      <c r="B240" s="16" t="s">
        <v>1527</v>
      </c>
      <c r="C240" s="17" t="s">
        <v>1528</v>
      </c>
      <c r="D240" s="17" t="s">
        <v>3177</v>
      </c>
      <c r="E240" s="16" t="s">
        <v>2007</v>
      </c>
      <c r="F240" s="17" t="s">
        <v>3178</v>
      </c>
      <c r="G240" s="17" t="s">
        <v>3179</v>
      </c>
      <c r="H240" s="17" t="s">
        <v>3180</v>
      </c>
      <c r="I240" s="20" t="s">
        <v>2011</v>
      </c>
      <c r="J240" s="21"/>
    </row>
    <row r="241" spans="1:10" ht="27" customHeight="1" x14ac:dyDescent="0.25">
      <c r="A241" s="18" t="s">
        <v>3181</v>
      </c>
      <c r="B241" s="18" t="s">
        <v>1527</v>
      </c>
      <c r="C241" s="19" t="s">
        <v>1528</v>
      </c>
      <c r="D241" s="19" t="s">
        <v>3182</v>
      </c>
      <c r="E241" s="18" t="s">
        <v>2035</v>
      </c>
      <c r="F241" s="19" t="s">
        <v>3183</v>
      </c>
      <c r="G241" s="19" t="s">
        <v>3184</v>
      </c>
      <c r="H241" s="19" t="s">
        <v>3185</v>
      </c>
      <c r="I241" s="20" t="s">
        <v>2011</v>
      </c>
      <c r="J241" s="21"/>
    </row>
    <row r="242" spans="1:10" ht="40.5" customHeight="1" x14ac:dyDescent="0.25">
      <c r="A242" s="16" t="s">
        <v>3186</v>
      </c>
      <c r="B242" s="16" t="s">
        <v>1527</v>
      </c>
      <c r="C242" s="17" t="s">
        <v>1528</v>
      </c>
      <c r="D242" s="17" t="s">
        <v>3187</v>
      </c>
      <c r="E242" s="16" t="s">
        <v>2014</v>
      </c>
      <c r="F242" s="17" t="s">
        <v>3188</v>
      </c>
      <c r="G242" s="17" t="s">
        <v>3189</v>
      </c>
      <c r="H242" s="17" t="s">
        <v>3190</v>
      </c>
      <c r="I242" s="20" t="s">
        <v>2011</v>
      </c>
      <c r="J242" s="21"/>
    </row>
    <row r="243" spans="1:10" ht="27" customHeight="1" x14ac:dyDescent="0.25">
      <c r="A243" s="18" t="s">
        <v>3191</v>
      </c>
      <c r="B243" s="18" t="s">
        <v>1538</v>
      </c>
      <c r="C243" s="19" t="s">
        <v>1539</v>
      </c>
      <c r="D243" s="19" t="s">
        <v>3192</v>
      </c>
      <c r="E243" s="18" t="s">
        <v>2007</v>
      </c>
      <c r="F243" s="19" t="s">
        <v>3193</v>
      </c>
      <c r="G243" s="19" t="s">
        <v>3194</v>
      </c>
      <c r="H243" s="19" t="s">
        <v>3195</v>
      </c>
      <c r="I243" s="20" t="s">
        <v>2011</v>
      </c>
      <c r="J243" s="21"/>
    </row>
    <row r="244" spans="1:10" ht="27" customHeight="1" x14ac:dyDescent="0.25">
      <c r="A244" s="16" t="s">
        <v>3196</v>
      </c>
      <c r="B244" s="16" t="s">
        <v>1538</v>
      </c>
      <c r="C244" s="17" t="s">
        <v>1539</v>
      </c>
      <c r="D244" s="17" t="s">
        <v>3197</v>
      </c>
      <c r="E244" s="16" t="s">
        <v>2014</v>
      </c>
      <c r="F244" s="17" t="s">
        <v>3198</v>
      </c>
      <c r="G244" s="17" t="s">
        <v>3199</v>
      </c>
      <c r="H244" s="17" t="s">
        <v>3200</v>
      </c>
      <c r="I244" s="20" t="s">
        <v>2011</v>
      </c>
      <c r="J244" s="21"/>
    </row>
    <row r="245" spans="1:10" ht="27" customHeight="1" x14ac:dyDescent="0.25">
      <c r="A245" s="18" t="s">
        <v>3201</v>
      </c>
      <c r="B245" s="18" t="s">
        <v>1549</v>
      </c>
      <c r="C245" s="19" t="s">
        <v>1550</v>
      </c>
      <c r="D245" s="19" t="s">
        <v>3202</v>
      </c>
      <c r="E245" s="18" t="s">
        <v>2007</v>
      </c>
      <c r="F245" s="19" t="s">
        <v>3203</v>
      </c>
      <c r="G245" s="19" t="s">
        <v>3204</v>
      </c>
      <c r="H245" s="19" t="s">
        <v>3205</v>
      </c>
      <c r="I245" s="20" t="s">
        <v>2011</v>
      </c>
      <c r="J245" s="21"/>
    </row>
    <row r="246" spans="1:10" ht="27" customHeight="1" x14ac:dyDescent="0.25">
      <c r="A246" s="16" t="s">
        <v>3206</v>
      </c>
      <c r="B246" s="16" t="s">
        <v>1549</v>
      </c>
      <c r="C246" s="17" t="s">
        <v>1550</v>
      </c>
      <c r="D246" s="17" t="s">
        <v>3207</v>
      </c>
      <c r="E246" s="16" t="s">
        <v>2014</v>
      </c>
      <c r="F246" s="17" t="s">
        <v>3208</v>
      </c>
      <c r="G246" s="17" t="s">
        <v>3209</v>
      </c>
      <c r="H246" s="17" t="s">
        <v>3210</v>
      </c>
      <c r="I246" s="20" t="s">
        <v>2011</v>
      </c>
      <c r="J246" s="21"/>
    </row>
    <row r="247" spans="1:10" ht="27" customHeight="1" x14ac:dyDescent="0.25">
      <c r="A247" s="18" t="s">
        <v>3211</v>
      </c>
      <c r="B247" s="18" t="s">
        <v>1559</v>
      </c>
      <c r="C247" s="19" t="s">
        <v>1561</v>
      </c>
      <c r="D247" s="19" t="s">
        <v>3212</v>
      </c>
      <c r="E247" s="18" t="s">
        <v>2007</v>
      </c>
      <c r="F247" s="19" t="s">
        <v>3213</v>
      </c>
      <c r="G247" s="19" t="s">
        <v>3214</v>
      </c>
      <c r="H247" s="19" t="s">
        <v>3215</v>
      </c>
      <c r="I247" s="20" t="s">
        <v>2011</v>
      </c>
      <c r="J247" s="21"/>
    </row>
    <row r="248" spans="1:10" ht="27" customHeight="1" x14ac:dyDescent="0.25">
      <c r="A248" s="16" t="s">
        <v>3216</v>
      </c>
      <c r="B248" s="16" t="s">
        <v>1559</v>
      </c>
      <c r="C248" s="17" t="s">
        <v>1561</v>
      </c>
      <c r="D248" s="17" t="s">
        <v>3217</v>
      </c>
      <c r="E248" s="16" t="s">
        <v>2035</v>
      </c>
      <c r="F248" s="17" t="s">
        <v>3218</v>
      </c>
      <c r="G248" s="17" t="s">
        <v>3219</v>
      </c>
      <c r="H248" s="17" t="s">
        <v>3220</v>
      </c>
      <c r="I248" s="20" t="s">
        <v>2011</v>
      </c>
      <c r="J248" s="21"/>
    </row>
    <row r="249" spans="1:10" ht="27" customHeight="1" x14ac:dyDescent="0.25">
      <c r="A249" s="18" t="s">
        <v>3221</v>
      </c>
      <c r="B249" s="18" t="s">
        <v>1559</v>
      </c>
      <c r="C249" s="19" t="s">
        <v>1561</v>
      </c>
      <c r="D249" s="19" t="s">
        <v>3222</v>
      </c>
      <c r="E249" s="18" t="s">
        <v>2014</v>
      </c>
      <c r="F249" s="19" t="s">
        <v>3223</v>
      </c>
      <c r="G249" s="19" t="s">
        <v>3224</v>
      </c>
      <c r="H249" s="19" t="s">
        <v>3225</v>
      </c>
      <c r="I249" s="20" t="s">
        <v>2011</v>
      </c>
      <c r="J249" s="21"/>
    </row>
    <row r="250" spans="1:10" ht="27" customHeight="1" x14ac:dyDescent="0.25">
      <c r="A250" s="16" t="s">
        <v>3226</v>
      </c>
      <c r="B250" s="16" t="s">
        <v>1573</v>
      </c>
      <c r="C250" s="17" t="s">
        <v>1574</v>
      </c>
      <c r="D250" s="17" t="s">
        <v>3227</v>
      </c>
      <c r="E250" s="16" t="s">
        <v>2007</v>
      </c>
      <c r="F250" s="17" t="s">
        <v>3228</v>
      </c>
      <c r="G250" s="17" t="s">
        <v>3229</v>
      </c>
      <c r="H250" s="17" t="s">
        <v>3230</v>
      </c>
      <c r="I250" s="20" t="s">
        <v>2011</v>
      </c>
      <c r="J250" s="21"/>
    </row>
    <row r="251" spans="1:10" ht="27" customHeight="1" x14ac:dyDescent="0.25">
      <c r="A251" s="18" t="s">
        <v>3231</v>
      </c>
      <c r="B251" s="18" t="s">
        <v>1573</v>
      </c>
      <c r="C251" s="19" t="s">
        <v>1574</v>
      </c>
      <c r="D251" s="19" t="s">
        <v>3232</v>
      </c>
      <c r="E251" s="18" t="s">
        <v>2035</v>
      </c>
      <c r="F251" s="19" t="s">
        <v>3233</v>
      </c>
      <c r="G251" s="19" t="s">
        <v>3234</v>
      </c>
      <c r="H251" s="19" t="s">
        <v>3235</v>
      </c>
      <c r="I251" s="20" t="s">
        <v>2011</v>
      </c>
      <c r="J251" s="21"/>
    </row>
    <row r="252" spans="1:10" ht="27" customHeight="1" x14ac:dyDescent="0.25">
      <c r="A252" s="16" t="s">
        <v>3236</v>
      </c>
      <c r="B252" s="16" t="s">
        <v>1584</v>
      </c>
      <c r="C252" s="17" t="s">
        <v>1585</v>
      </c>
      <c r="D252" s="17" t="s">
        <v>3237</v>
      </c>
      <c r="E252" s="16" t="s">
        <v>2007</v>
      </c>
      <c r="F252" s="17" t="s">
        <v>3238</v>
      </c>
      <c r="G252" s="17" t="s">
        <v>3239</v>
      </c>
      <c r="H252" s="17" t="s">
        <v>3240</v>
      </c>
      <c r="I252" s="20" t="s">
        <v>2011</v>
      </c>
      <c r="J252" s="21"/>
    </row>
    <row r="253" spans="1:10" ht="27" customHeight="1" x14ac:dyDescent="0.25">
      <c r="A253" s="18" t="s">
        <v>3241</v>
      </c>
      <c r="B253" s="18" t="s">
        <v>1584</v>
      </c>
      <c r="C253" s="19" t="s">
        <v>1585</v>
      </c>
      <c r="D253" s="19" t="s">
        <v>3242</v>
      </c>
      <c r="E253" s="18" t="s">
        <v>2035</v>
      </c>
      <c r="F253" s="19" t="s">
        <v>3243</v>
      </c>
      <c r="G253" s="19" t="s">
        <v>3244</v>
      </c>
      <c r="H253" s="19" t="s">
        <v>3245</v>
      </c>
      <c r="I253" s="20" t="s">
        <v>2011</v>
      </c>
      <c r="J253" s="21"/>
    </row>
    <row r="254" spans="1:10" ht="27" customHeight="1" x14ac:dyDescent="0.25">
      <c r="A254" s="16" t="s">
        <v>3246</v>
      </c>
      <c r="B254" s="16" t="s">
        <v>1597</v>
      </c>
      <c r="C254" s="17" t="s">
        <v>1598</v>
      </c>
      <c r="D254" s="17" t="s">
        <v>3247</v>
      </c>
      <c r="E254" s="16" t="s">
        <v>2007</v>
      </c>
      <c r="F254" s="17" t="s">
        <v>3248</v>
      </c>
      <c r="G254" s="17" t="s">
        <v>3249</v>
      </c>
      <c r="H254" s="17" t="s">
        <v>3250</v>
      </c>
      <c r="I254" s="20" t="s">
        <v>2011</v>
      </c>
      <c r="J254" s="21"/>
    </row>
    <row r="255" spans="1:10" ht="27" customHeight="1" x14ac:dyDescent="0.25">
      <c r="A255" s="18" t="s">
        <v>3251</v>
      </c>
      <c r="B255" s="18" t="s">
        <v>1597</v>
      </c>
      <c r="C255" s="19" t="s">
        <v>1598</v>
      </c>
      <c r="D255" s="19" t="s">
        <v>3252</v>
      </c>
      <c r="E255" s="18" t="s">
        <v>2014</v>
      </c>
      <c r="F255" s="19" t="s">
        <v>3253</v>
      </c>
      <c r="G255" s="19" t="s">
        <v>3254</v>
      </c>
      <c r="H255" s="19" t="s">
        <v>3255</v>
      </c>
      <c r="I255" s="20" t="s">
        <v>2011</v>
      </c>
      <c r="J255" s="21"/>
    </row>
    <row r="256" spans="1:10" ht="27" customHeight="1" x14ac:dyDescent="0.25">
      <c r="A256" s="16" t="s">
        <v>3256</v>
      </c>
      <c r="B256" s="16" t="s">
        <v>1597</v>
      </c>
      <c r="C256" s="17" t="s">
        <v>1598</v>
      </c>
      <c r="D256" s="17" t="s">
        <v>3257</v>
      </c>
      <c r="E256" s="16" t="s">
        <v>2014</v>
      </c>
      <c r="F256" s="17" t="s">
        <v>3258</v>
      </c>
      <c r="G256" s="17" t="s">
        <v>3259</v>
      </c>
      <c r="H256" s="17" t="s">
        <v>3260</v>
      </c>
      <c r="I256" s="20" t="s">
        <v>2011</v>
      </c>
      <c r="J256" s="21"/>
    </row>
    <row r="257" spans="1:10" ht="27" customHeight="1" x14ac:dyDescent="0.25">
      <c r="A257" s="18" t="s">
        <v>3261</v>
      </c>
      <c r="B257" s="18" t="s">
        <v>1610</v>
      </c>
      <c r="C257" s="19" t="s">
        <v>1611</v>
      </c>
      <c r="D257" s="19" t="s">
        <v>2600</v>
      </c>
      <c r="E257" s="18" t="s">
        <v>2007</v>
      </c>
      <c r="F257" s="19" t="s">
        <v>3262</v>
      </c>
      <c r="G257" s="19" t="s">
        <v>3263</v>
      </c>
      <c r="H257" s="19" t="s">
        <v>3264</v>
      </c>
      <c r="I257" s="20" t="s">
        <v>2011</v>
      </c>
      <c r="J257" s="21"/>
    </row>
    <row r="258" spans="1:10" ht="27" customHeight="1" x14ac:dyDescent="0.25">
      <c r="A258" s="16" t="s">
        <v>3265</v>
      </c>
      <c r="B258" s="16" t="s">
        <v>1610</v>
      </c>
      <c r="C258" s="17" t="s">
        <v>1611</v>
      </c>
      <c r="D258" s="17" t="s">
        <v>3266</v>
      </c>
      <c r="E258" s="16" t="s">
        <v>2014</v>
      </c>
      <c r="F258" s="17" t="s">
        <v>3267</v>
      </c>
      <c r="G258" s="17" t="s">
        <v>3268</v>
      </c>
      <c r="H258" s="17" t="s">
        <v>3269</v>
      </c>
      <c r="I258" s="20" t="s">
        <v>2011</v>
      </c>
      <c r="J258" s="21"/>
    </row>
    <row r="259" spans="1:10" ht="40.5" customHeight="1" x14ac:dyDescent="0.25">
      <c r="A259" s="18" t="s">
        <v>3270</v>
      </c>
      <c r="B259" s="18" t="s">
        <v>1621</v>
      </c>
      <c r="C259" s="19" t="s">
        <v>1622</v>
      </c>
      <c r="D259" s="19" t="s">
        <v>3271</v>
      </c>
      <c r="E259" s="18" t="s">
        <v>2007</v>
      </c>
      <c r="F259" s="19" t="s">
        <v>3272</v>
      </c>
      <c r="G259" s="19" t="s">
        <v>3273</v>
      </c>
      <c r="H259" s="19" t="s">
        <v>3274</v>
      </c>
      <c r="I259" s="20" t="s">
        <v>2011</v>
      </c>
      <c r="J259" s="21"/>
    </row>
    <row r="260" spans="1:10" ht="27" customHeight="1" x14ac:dyDescent="0.25">
      <c r="A260" s="16" t="s">
        <v>3275</v>
      </c>
      <c r="B260" s="16" t="s">
        <v>1621</v>
      </c>
      <c r="C260" s="17" t="s">
        <v>1622</v>
      </c>
      <c r="D260" s="17" t="s">
        <v>3276</v>
      </c>
      <c r="E260" s="16" t="s">
        <v>2014</v>
      </c>
      <c r="F260" s="17" t="s">
        <v>3277</v>
      </c>
      <c r="G260" s="17" t="s">
        <v>3278</v>
      </c>
      <c r="H260" s="17" t="s">
        <v>3279</v>
      </c>
      <c r="I260" s="20" t="s">
        <v>2011</v>
      </c>
      <c r="J260" s="21"/>
    </row>
    <row r="261" spans="1:10" ht="27" customHeight="1" x14ac:dyDescent="0.25">
      <c r="A261" s="18" t="s">
        <v>3280</v>
      </c>
      <c r="B261" s="18" t="s">
        <v>1621</v>
      </c>
      <c r="C261" s="19" t="s">
        <v>1622</v>
      </c>
      <c r="D261" s="19" t="s">
        <v>3281</v>
      </c>
      <c r="E261" s="18" t="s">
        <v>2035</v>
      </c>
      <c r="F261" s="19" t="s">
        <v>3282</v>
      </c>
      <c r="G261" s="19" t="s">
        <v>3283</v>
      </c>
      <c r="H261" s="19" t="s">
        <v>3284</v>
      </c>
      <c r="I261" s="20" t="s">
        <v>2011</v>
      </c>
      <c r="J261" s="21"/>
    </row>
    <row r="262" spans="1:10" ht="27" customHeight="1" x14ac:dyDescent="0.25">
      <c r="A262" s="16" t="s">
        <v>3285</v>
      </c>
      <c r="B262" s="16" t="s">
        <v>1634</v>
      </c>
      <c r="C262" s="17" t="s">
        <v>1636</v>
      </c>
      <c r="D262" s="17" t="s">
        <v>3286</v>
      </c>
      <c r="E262" s="16" t="s">
        <v>2007</v>
      </c>
      <c r="F262" s="17" t="s">
        <v>3287</v>
      </c>
      <c r="G262" s="17" t="s">
        <v>3288</v>
      </c>
      <c r="H262" s="17" t="s">
        <v>3289</v>
      </c>
      <c r="I262" s="20" t="s">
        <v>2011</v>
      </c>
      <c r="J262" s="21"/>
    </row>
    <row r="263" spans="1:10" ht="27" customHeight="1" x14ac:dyDescent="0.25">
      <c r="A263" s="18" t="s">
        <v>3290</v>
      </c>
      <c r="B263" s="18" t="s">
        <v>1634</v>
      </c>
      <c r="C263" s="19" t="s">
        <v>1636</v>
      </c>
      <c r="D263" s="19" t="s">
        <v>3291</v>
      </c>
      <c r="E263" s="18" t="s">
        <v>2035</v>
      </c>
      <c r="F263" s="19" t="s">
        <v>3292</v>
      </c>
      <c r="G263" s="19" t="s">
        <v>3293</v>
      </c>
      <c r="H263" s="19" t="s">
        <v>3294</v>
      </c>
      <c r="I263" s="20" t="s">
        <v>2011</v>
      </c>
      <c r="J263" s="21"/>
    </row>
    <row r="264" spans="1:10" ht="40.5" customHeight="1" x14ac:dyDescent="0.25">
      <c r="A264" s="16" t="s">
        <v>3295</v>
      </c>
      <c r="B264" s="16" t="s">
        <v>1644</v>
      </c>
      <c r="C264" s="17" t="s">
        <v>1645</v>
      </c>
      <c r="D264" s="17" t="s">
        <v>3296</v>
      </c>
      <c r="E264" s="16" t="s">
        <v>2007</v>
      </c>
      <c r="F264" s="17" t="s">
        <v>3297</v>
      </c>
      <c r="G264" s="17" t="s">
        <v>3298</v>
      </c>
      <c r="H264" s="17" t="s">
        <v>3299</v>
      </c>
      <c r="I264" s="20" t="s">
        <v>2011</v>
      </c>
      <c r="J264" s="21"/>
    </row>
    <row r="265" spans="1:10" ht="27" customHeight="1" x14ac:dyDescent="0.25">
      <c r="A265" s="18" t="s">
        <v>3300</v>
      </c>
      <c r="B265" s="18" t="s">
        <v>1644</v>
      </c>
      <c r="C265" s="19" t="s">
        <v>1645</v>
      </c>
      <c r="D265" s="19" t="s">
        <v>3301</v>
      </c>
      <c r="E265" s="18" t="s">
        <v>2014</v>
      </c>
      <c r="F265" s="19" t="s">
        <v>3302</v>
      </c>
      <c r="G265" s="19" t="s">
        <v>3303</v>
      </c>
      <c r="H265" s="19" t="s">
        <v>3304</v>
      </c>
      <c r="I265" s="20" t="s">
        <v>2011</v>
      </c>
      <c r="J265" s="21"/>
    </row>
    <row r="266" spans="1:10" ht="27" customHeight="1" x14ac:dyDescent="0.25">
      <c r="A266" s="16" t="s">
        <v>3305</v>
      </c>
      <c r="B266" s="16" t="s">
        <v>1654</v>
      </c>
      <c r="C266" s="17" t="s">
        <v>1655</v>
      </c>
      <c r="D266" s="17" t="s">
        <v>3306</v>
      </c>
      <c r="E266" s="16" t="s">
        <v>2007</v>
      </c>
      <c r="F266" s="17" t="s">
        <v>3307</v>
      </c>
      <c r="G266" s="17" t="s">
        <v>3308</v>
      </c>
      <c r="H266" s="17" t="s">
        <v>3309</v>
      </c>
      <c r="I266" s="20" t="s">
        <v>2011</v>
      </c>
      <c r="J266" s="21"/>
    </row>
    <row r="267" spans="1:10" ht="27" customHeight="1" x14ac:dyDescent="0.25">
      <c r="A267" s="18" t="s">
        <v>3310</v>
      </c>
      <c r="B267" s="18" t="s">
        <v>1654</v>
      </c>
      <c r="C267" s="19" t="s">
        <v>1655</v>
      </c>
      <c r="D267" s="19" t="s">
        <v>3311</v>
      </c>
      <c r="E267" s="18" t="s">
        <v>2035</v>
      </c>
      <c r="F267" s="19" t="s">
        <v>3312</v>
      </c>
      <c r="G267" s="19" t="s">
        <v>3313</v>
      </c>
      <c r="H267" s="19" t="s">
        <v>3314</v>
      </c>
      <c r="I267" s="20" t="s">
        <v>2011</v>
      </c>
      <c r="J267" s="21"/>
    </row>
    <row r="268" spans="1:10" ht="27" customHeight="1" x14ac:dyDescent="0.25">
      <c r="A268" s="16" t="s">
        <v>3315</v>
      </c>
      <c r="B268" s="16" t="s">
        <v>1654</v>
      </c>
      <c r="C268" s="17" t="s">
        <v>1655</v>
      </c>
      <c r="D268" s="17" t="s">
        <v>3316</v>
      </c>
      <c r="E268" s="16" t="s">
        <v>2007</v>
      </c>
      <c r="F268" s="17" t="s">
        <v>3317</v>
      </c>
      <c r="G268" s="17" t="s">
        <v>3318</v>
      </c>
      <c r="H268" s="17" t="s">
        <v>3319</v>
      </c>
      <c r="I268" s="20" t="s">
        <v>2011</v>
      </c>
      <c r="J268" s="21"/>
    </row>
    <row r="269" spans="1:10" ht="27" customHeight="1" x14ac:dyDescent="0.25">
      <c r="A269" s="18" t="s">
        <v>3320</v>
      </c>
      <c r="B269" s="18" t="s">
        <v>1664</v>
      </c>
      <c r="C269" s="19" t="s">
        <v>1665</v>
      </c>
      <c r="D269" s="19" t="s">
        <v>3321</v>
      </c>
      <c r="E269" s="18" t="s">
        <v>2007</v>
      </c>
      <c r="F269" s="19" t="s">
        <v>3322</v>
      </c>
      <c r="G269" s="19" t="s">
        <v>3323</v>
      </c>
      <c r="H269" s="19" t="s">
        <v>3324</v>
      </c>
      <c r="I269" s="20" t="s">
        <v>2011</v>
      </c>
      <c r="J269" s="21"/>
    </row>
    <row r="270" spans="1:10" ht="27" customHeight="1" x14ac:dyDescent="0.25">
      <c r="A270" s="16" t="s">
        <v>3325</v>
      </c>
      <c r="B270" s="16" t="s">
        <v>1664</v>
      </c>
      <c r="C270" s="17" t="s">
        <v>1665</v>
      </c>
      <c r="D270" s="17" t="s">
        <v>3326</v>
      </c>
      <c r="E270" s="16" t="s">
        <v>2035</v>
      </c>
      <c r="F270" s="17" t="s">
        <v>3327</v>
      </c>
      <c r="G270" s="17" t="s">
        <v>3328</v>
      </c>
      <c r="H270" s="17" t="s">
        <v>3329</v>
      </c>
      <c r="I270" s="20" t="s">
        <v>2011</v>
      </c>
      <c r="J270" s="21"/>
    </row>
    <row r="271" spans="1:10" ht="27" customHeight="1" x14ac:dyDescent="0.25">
      <c r="A271" s="18" t="s">
        <v>3330</v>
      </c>
      <c r="B271" s="18" t="s">
        <v>1674</v>
      </c>
      <c r="C271" s="19" t="s">
        <v>1675</v>
      </c>
      <c r="D271" s="19" t="s">
        <v>3331</v>
      </c>
      <c r="E271" s="18" t="s">
        <v>2007</v>
      </c>
      <c r="F271" s="19" t="s">
        <v>3332</v>
      </c>
      <c r="G271" s="19" t="s">
        <v>3333</v>
      </c>
      <c r="H271" s="19" t="s">
        <v>3334</v>
      </c>
      <c r="I271" s="20" t="s">
        <v>2011</v>
      </c>
      <c r="J271" s="21"/>
    </row>
    <row r="272" spans="1:10" ht="27" customHeight="1" x14ac:dyDescent="0.25">
      <c r="A272" s="16" t="s">
        <v>3335</v>
      </c>
      <c r="B272" s="16" t="s">
        <v>1674</v>
      </c>
      <c r="C272" s="17" t="s">
        <v>1675</v>
      </c>
      <c r="D272" s="17" t="s">
        <v>3336</v>
      </c>
      <c r="E272" s="16" t="s">
        <v>2014</v>
      </c>
      <c r="F272" s="17" t="s">
        <v>3337</v>
      </c>
      <c r="G272" s="17" t="s">
        <v>3338</v>
      </c>
      <c r="H272" s="17" t="s">
        <v>3339</v>
      </c>
      <c r="I272" s="20" t="s">
        <v>2011</v>
      </c>
      <c r="J272" s="21"/>
    </row>
    <row r="273" spans="1:10" ht="27" customHeight="1" x14ac:dyDescent="0.25">
      <c r="A273" s="18" t="s">
        <v>3340</v>
      </c>
      <c r="B273" s="18" t="s">
        <v>1684</v>
      </c>
      <c r="C273" s="19" t="s">
        <v>1686</v>
      </c>
      <c r="D273" s="19" t="s">
        <v>3341</v>
      </c>
      <c r="E273" s="18" t="s">
        <v>2007</v>
      </c>
      <c r="F273" s="19" t="s">
        <v>3342</v>
      </c>
      <c r="G273" s="19" t="s">
        <v>3343</v>
      </c>
      <c r="H273" s="19" t="s">
        <v>3344</v>
      </c>
      <c r="I273" s="20" t="s">
        <v>2011</v>
      </c>
      <c r="J273" s="21"/>
    </row>
    <row r="274" spans="1:10" ht="27" customHeight="1" x14ac:dyDescent="0.25">
      <c r="A274" s="16" t="s">
        <v>3345</v>
      </c>
      <c r="B274" s="16" t="s">
        <v>1684</v>
      </c>
      <c r="C274" s="17" t="s">
        <v>1686</v>
      </c>
      <c r="D274" s="17" t="s">
        <v>3346</v>
      </c>
      <c r="E274" s="16" t="s">
        <v>2014</v>
      </c>
      <c r="F274" s="17" t="s">
        <v>3347</v>
      </c>
      <c r="G274" s="17" t="s">
        <v>3348</v>
      </c>
      <c r="H274" s="17" t="s">
        <v>3349</v>
      </c>
      <c r="I274" s="20" t="s">
        <v>2011</v>
      </c>
      <c r="J274" s="21"/>
    </row>
    <row r="275" spans="1:10" ht="27" customHeight="1" x14ac:dyDescent="0.25">
      <c r="A275" s="18" t="s">
        <v>3350</v>
      </c>
      <c r="B275" s="18" t="s">
        <v>1684</v>
      </c>
      <c r="C275" s="19" t="s">
        <v>1686</v>
      </c>
      <c r="D275" s="19" t="s">
        <v>3351</v>
      </c>
      <c r="E275" s="18" t="s">
        <v>2035</v>
      </c>
      <c r="F275" s="19" t="s">
        <v>3352</v>
      </c>
      <c r="G275" s="19" t="s">
        <v>3353</v>
      </c>
      <c r="H275" s="19" t="s">
        <v>3354</v>
      </c>
      <c r="I275" s="20" t="s">
        <v>2011</v>
      </c>
      <c r="J275" s="21"/>
    </row>
    <row r="276" spans="1:10" ht="27" customHeight="1" x14ac:dyDescent="0.25">
      <c r="A276" s="16" t="s">
        <v>3355</v>
      </c>
      <c r="B276" s="16" t="s">
        <v>1697</v>
      </c>
      <c r="C276" s="17" t="s">
        <v>1698</v>
      </c>
      <c r="D276" s="17" t="s">
        <v>3356</v>
      </c>
      <c r="E276" s="16" t="s">
        <v>2007</v>
      </c>
      <c r="F276" s="17" t="s">
        <v>3357</v>
      </c>
      <c r="G276" s="17" t="s">
        <v>3358</v>
      </c>
      <c r="H276" s="17" t="s">
        <v>3359</v>
      </c>
      <c r="I276" s="20" t="s">
        <v>2011</v>
      </c>
      <c r="J276" s="21"/>
    </row>
    <row r="277" spans="1:10" ht="27" customHeight="1" x14ac:dyDescent="0.25">
      <c r="A277" s="18" t="s">
        <v>3360</v>
      </c>
      <c r="B277" s="18" t="s">
        <v>1697</v>
      </c>
      <c r="C277" s="19" t="s">
        <v>1698</v>
      </c>
      <c r="D277" s="19" t="s">
        <v>3361</v>
      </c>
      <c r="E277" s="18" t="s">
        <v>2035</v>
      </c>
      <c r="F277" s="19" t="s">
        <v>3362</v>
      </c>
      <c r="G277" s="19" t="s">
        <v>3363</v>
      </c>
      <c r="H277" s="19" t="s">
        <v>3364</v>
      </c>
      <c r="I277" s="20" t="s">
        <v>2011</v>
      </c>
      <c r="J277" s="21"/>
    </row>
    <row r="278" spans="1:10" ht="27" customHeight="1" x14ac:dyDescent="0.25">
      <c r="A278" s="16" t="s">
        <v>3365</v>
      </c>
      <c r="B278" s="16" t="s">
        <v>1708</v>
      </c>
      <c r="C278" s="17" t="s">
        <v>1709</v>
      </c>
      <c r="D278" s="17" t="s">
        <v>3366</v>
      </c>
      <c r="E278" s="16" t="s">
        <v>2007</v>
      </c>
      <c r="F278" s="17" t="s">
        <v>3367</v>
      </c>
      <c r="G278" s="17" t="s">
        <v>3368</v>
      </c>
      <c r="H278" s="17" t="s">
        <v>3369</v>
      </c>
      <c r="I278" s="20" t="s">
        <v>2011</v>
      </c>
      <c r="J278" s="21"/>
    </row>
    <row r="279" spans="1:10" ht="27" customHeight="1" x14ac:dyDescent="0.25">
      <c r="A279" s="18" t="s">
        <v>3370</v>
      </c>
      <c r="B279" s="18" t="s">
        <v>1708</v>
      </c>
      <c r="C279" s="19" t="s">
        <v>1709</v>
      </c>
      <c r="D279" s="19" t="s">
        <v>3371</v>
      </c>
      <c r="E279" s="18" t="s">
        <v>2014</v>
      </c>
      <c r="F279" s="19" t="s">
        <v>3372</v>
      </c>
      <c r="G279" s="19" t="s">
        <v>3373</v>
      </c>
      <c r="H279" s="19" t="s">
        <v>3374</v>
      </c>
      <c r="I279" s="20" t="s">
        <v>2011</v>
      </c>
      <c r="J279" s="21"/>
    </row>
    <row r="280" spans="1:10" ht="40.5" customHeight="1" x14ac:dyDescent="0.25">
      <c r="A280" s="16" t="s">
        <v>3375</v>
      </c>
      <c r="B280" s="16" t="s">
        <v>1717</v>
      </c>
      <c r="C280" s="17" t="s">
        <v>1718</v>
      </c>
      <c r="D280" s="17" t="s">
        <v>3376</v>
      </c>
      <c r="E280" s="16" t="s">
        <v>2007</v>
      </c>
      <c r="F280" s="17" t="s">
        <v>3377</v>
      </c>
      <c r="G280" s="17" t="s">
        <v>3378</v>
      </c>
      <c r="H280" s="17" t="s">
        <v>3379</v>
      </c>
      <c r="I280" s="20" t="s">
        <v>2011</v>
      </c>
      <c r="J280" s="21"/>
    </row>
    <row r="281" spans="1:10" ht="27" customHeight="1" x14ac:dyDescent="0.25">
      <c r="A281" s="18" t="s">
        <v>3380</v>
      </c>
      <c r="B281" s="18" t="s">
        <v>1717</v>
      </c>
      <c r="C281" s="19" t="s">
        <v>1718</v>
      </c>
      <c r="D281" s="19" t="s">
        <v>2090</v>
      </c>
      <c r="E281" s="18" t="s">
        <v>2014</v>
      </c>
      <c r="F281" s="19" t="s">
        <v>3381</v>
      </c>
      <c r="G281" s="19" t="s">
        <v>3382</v>
      </c>
      <c r="H281" s="19" t="s">
        <v>3383</v>
      </c>
      <c r="I281" s="20" t="s">
        <v>2011</v>
      </c>
      <c r="J281" s="21"/>
    </row>
    <row r="282" spans="1:10" ht="27" customHeight="1" x14ac:dyDescent="0.25">
      <c r="A282" s="16" t="s">
        <v>3384</v>
      </c>
      <c r="B282" s="16" t="s">
        <v>1717</v>
      </c>
      <c r="C282" s="17" t="s">
        <v>1718</v>
      </c>
      <c r="D282" s="17" t="s">
        <v>3385</v>
      </c>
      <c r="E282" s="16" t="s">
        <v>2007</v>
      </c>
      <c r="F282" s="17" t="s">
        <v>3386</v>
      </c>
      <c r="G282" s="17" t="s">
        <v>3387</v>
      </c>
      <c r="H282" s="17" t="s">
        <v>3388</v>
      </c>
      <c r="I282" s="20" t="s">
        <v>2011</v>
      </c>
      <c r="J282" s="21"/>
    </row>
    <row r="283" spans="1:10" ht="27" customHeight="1" x14ac:dyDescent="0.25">
      <c r="A283" s="18" t="s">
        <v>3389</v>
      </c>
      <c r="B283" s="18" t="s">
        <v>1729</v>
      </c>
      <c r="C283" s="19" t="s">
        <v>1730</v>
      </c>
      <c r="D283" s="19" t="s">
        <v>3390</v>
      </c>
      <c r="E283" s="18" t="s">
        <v>2007</v>
      </c>
      <c r="F283" s="19" t="s">
        <v>3391</v>
      </c>
      <c r="G283" s="19" t="s">
        <v>3392</v>
      </c>
      <c r="H283" s="19" t="s">
        <v>3393</v>
      </c>
      <c r="I283" s="20" t="s">
        <v>2011</v>
      </c>
      <c r="J283" s="21"/>
    </row>
    <row r="284" spans="1:10" ht="27" customHeight="1" x14ac:dyDescent="0.25">
      <c r="A284" s="16" t="s">
        <v>3394</v>
      </c>
      <c r="B284" s="16" t="s">
        <v>1729</v>
      </c>
      <c r="C284" s="17" t="s">
        <v>1730</v>
      </c>
      <c r="D284" s="17" t="s">
        <v>3395</v>
      </c>
      <c r="E284" s="16" t="s">
        <v>2014</v>
      </c>
      <c r="F284" s="17" t="s">
        <v>3396</v>
      </c>
      <c r="G284" s="17" t="s">
        <v>3397</v>
      </c>
      <c r="H284" s="17" t="s">
        <v>3398</v>
      </c>
      <c r="I284" s="20" t="s">
        <v>2011</v>
      </c>
      <c r="J284" s="21"/>
    </row>
    <row r="285" spans="1:10" ht="27" customHeight="1" x14ac:dyDescent="0.25">
      <c r="A285" s="18" t="s">
        <v>3399</v>
      </c>
      <c r="B285" s="18" t="s">
        <v>1729</v>
      </c>
      <c r="C285" s="19" t="s">
        <v>1730</v>
      </c>
      <c r="D285" s="19" t="s">
        <v>3400</v>
      </c>
      <c r="E285" s="18" t="s">
        <v>2035</v>
      </c>
      <c r="F285" s="19" t="s">
        <v>3401</v>
      </c>
      <c r="G285" s="19" t="s">
        <v>3402</v>
      </c>
      <c r="H285" s="19" t="s">
        <v>3403</v>
      </c>
      <c r="I285" s="20" t="s">
        <v>2011</v>
      </c>
      <c r="J285" s="21"/>
    </row>
    <row r="286" spans="1:10" ht="27" customHeight="1" x14ac:dyDescent="0.25">
      <c r="A286" s="16" t="s">
        <v>3404</v>
      </c>
      <c r="B286" s="16" t="s">
        <v>1740</v>
      </c>
      <c r="C286" s="17" t="s">
        <v>1741</v>
      </c>
      <c r="D286" s="17" t="s">
        <v>3405</v>
      </c>
      <c r="E286" s="16" t="s">
        <v>2007</v>
      </c>
      <c r="F286" s="17" t="s">
        <v>3406</v>
      </c>
      <c r="G286" s="17" t="s">
        <v>3407</v>
      </c>
      <c r="H286" s="17" t="s">
        <v>3408</v>
      </c>
      <c r="I286" s="20" t="s">
        <v>2011</v>
      </c>
      <c r="J286" s="21"/>
    </row>
    <row r="287" spans="1:10" ht="27" customHeight="1" x14ac:dyDescent="0.25">
      <c r="A287" s="18" t="s">
        <v>3409</v>
      </c>
      <c r="B287" s="18" t="s">
        <v>1740</v>
      </c>
      <c r="C287" s="19" t="s">
        <v>1741</v>
      </c>
      <c r="D287" s="19" t="s">
        <v>3410</v>
      </c>
      <c r="E287" s="18" t="s">
        <v>2014</v>
      </c>
      <c r="F287" s="19" t="s">
        <v>3411</v>
      </c>
      <c r="G287" s="19" t="s">
        <v>3412</v>
      </c>
      <c r="H287" s="19" t="s">
        <v>3413</v>
      </c>
      <c r="I287" s="20" t="s">
        <v>2011</v>
      </c>
      <c r="J287" s="21"/>
    </row>
    <row r="288" spans="1:10" ht="27" customHeight="1" x14ac:dyDescent="0.25">
      <c r="A288" s="16" t="s">
        <v>3414</v>
      </c>
      <c r="B288" s="16" t="s">
        <v>1752</v>
      </c>
      <c r="C288" s="17" t="s">
        <v>1753</v>
      </c>
      <c r="D288" s="17" t="s">
        <v>3415</v>
      </c>
      <c r="E288" s="16" t="s">
        <v>2007</v>
      </c>
      <c r="F288" s="17" t="s">
        <v>3416</v>
      </c>
      <c r="G288" s="17" t="s">
        <v>3417</v>
      </c>
      <c r="H288" s="17" t="s">
        <v>3418</v>
      </c>
      <c r="I288" s="20" t="s">
        <v>2011</v>
      </c>
      <c r="J288" s="21"/>
    </row>
    <row r="289" spans="1:10" ht="27" customHeight="1" x14ac:dyDescent="0.25">
      <c r="A289" s="18" t="s">
        <v>3419</v>
      </c>
      <c r="B289" s="18" t="s">
        <v>1752</v>
      </c>
      <c r="C289" s="19" t="s">
        <v>1753</v>
      </c>
      <c r="D289" s="19" t="s">
        <v>3420</v>
      </c>
      <c r="E289" s="18" t="s">
        <v>2035</v>
      </c>
      <c r="F289" s="19" t="s">
        <v>3421</v>
      </c>
      <c r="G289" s="19" t="s">
        <v>3422</v>
      </c>
      <c r="H289" s="19" t="s">
        <v>3423</v>
      </c>
      <c r="I289" s="20" t="s">
        <v>2011</v>
      </c>
      <c r="J289" s="21"/>
    </row>
    <row r="290" spans="1:10" ht="27" customHeight="1" x14ac:dyDescent="0.25">
      <c r="A290" s="16" t="s">
        <v>3424</v>
      </c>
      <c r="B290" s="16" t="s">
        <v>1762</v>
      </c>
      <c r="C290" s="17" t="s">
        <v>1763</v>
      </c>
      <c r="D290" s="17" t="s">
        <v>3425</v>
      </c>
      <c r="E290" s="16" t="s">
        <v>2007</v>
      </c>
      <c r="F290" s="17" t="s">
        <v>3426</v>
      </c>
      <c r="G290" s="17" t="s">
        <v>3427</v>
      </c>
      <c r="H290" s="17" t="s">
        <v>3428</v>
      </c>
      <c r="I290" s="20" t="s">
        <v>2011</v>
      </c>
      <c r="J290" s="21"/>
    </row>
    <row r="291" spans="1:10" ht="27" customHeight="1" x14ac:dyDescent="0.25">
      <c r="A291" s="18" t="s">
        <v>3429</v>
      </c>
      <c r="B291" s="18" t="s">
        <v>1762</v>
      </c>
      <c r="C291" s="19" t="s">
        <v>1763</v>
      </c>
      <c r="D291" s="19" t="s">
        <v>3430</v>
      </c>
      <c r="E291" s="18" t="s">
        <v>2014</v>
      </c>
      <c r="F291" s="19" t="s">
        <v>3431</v>
      </c>
      <c r="G291" s="19" t="s">
        <v>3432</v>
      </c>
      <c r="H291" s="19" t="s">
        <v>3433</v>
      </c>
      <c r="I291" s="20" t="s">
        <v>2011</v>
      </c>
      <c r="J291" s="21"/>
    </row>
    <row r="292" spans="1:10" ht="27" customHeight="1" x14ac:dyDescent="0.25">
      <c r="A292" s="16" t="s">
        <v>3434</v>
      </c>
      <c r="B292" s="16" t="s">
        <v>1772</v>
      </c>
      <c r="C292" s="17" t="s">
        <v>1774</v>
      </c>
      <c r="D292" s="17" t="s">
        <v>3435</v>
      </c>
      <c r="E292" s="16" t="s">
        <v>2007</v>
      </c>
      <c r="F292" s="17" t="s">
        <v>3436</v>
      </c>
      <c r="G292" s="17" t="s">
        <v>3437</v>
      </c>
      <c r="H292" s="17" t="s">
        <v>3438</v>
      </c>
      <c r="I292" s="20" t="s">
        <v>2011</v>
      </c>
      <c r="J292" s="21"/>
    </row>
    <row r="293" spans="1:10" ht="27" customHeight="1" x14ac:dyDescent="0.25">
      <c r="A293" s="18" t="s">
        <v>3439</v>
      </c>
      <c r="B293" s="18" t="s">
        <v>1772</v>
      </c>
      <c r="C293" s="19" t="s">
        <v>1774</v>
      </c>
      <c r="D293" s="19" t="s">
        <v>3440</v>
      </c>
      <c r="E293" s="18" t="s">
        <v>2014</v>
      </c>
      <c r="F293" s="19" t="s">
        <v>3441</v>
      </c>
      <c r="G293" s="19" t="s">
        <v>3442</v>
      </c>
      <c r="H293" s="19" t="s">
        <v>3443</v>
      </c>
      <c r="I293" s="20" t="s">
        <v>2011</v>
      </c>
      <c r="J293" s="21"/>
    </row>
    <row r="294" spans="1:10" ht="27" customHeight="1" x14ac:dyDescent="0.25">
      <c r="A294" s="16" t="s">
        <v>3444</v>
      </c>
      <c r="B294" s="16" t="s">
        <v>1772</v>
      </c>
      <c r="C294" s="17" t="s">
        <v>1774</v>
      </c>
      <c r="D294" s="17" t="s">
        <v>3445</v>
      </c>
      <c r="E294" s="16" t="s">
        <v>2014</v>
      </c>
      <c r="F294" s="17" t="s">
        <v>3446</v>
      </c>
      <c r="G294" s="17" t="s">
        <v>3447</v>
      </c>
      <c r="H294" s="17" t="s">
        <v>3448</v>
      </c>
      <c r="I294" s="20" t="s">
        <v>2011</v>
      </c>
      <c r="J294" s="21"/>
    </row>
    <row r="295" spans="1:10" ht="40.5" customHeight="1" x14ac:dyDescent="0.25">
      <c r="A295" s="18" t="s">
        <v>3449</v>
      </c>
      <c r="B295" s="18" t="s">
        <v>1785</v>
      </c>
      <c r="C295" s="19" t="s">
        <v>1786</v>
      </c>
      <c r="D295" s="19" t="s">
        <v>3450</v>
      </c>
      <c r="E295" s="18" t="s">
        <v>2007</v>
      </c>
      <c r="F295" s="19" t="s">
        <v>3451</v>
      </c>
      <c r="G295" s="19" t="s">
        <v>3452</v>
      </c>
      <c r="H295" s="19" t="s">
        <v>3453</v>
      </c>
      <c r="I295" s="20" t="s">
        <v>2011</v>
      </c>
      <c r="J295" s="21"/>
    </row>
    <row r="296" spans="1:10" ht="27" customHeight="1" x14ac:dyDescent="0.25">
      <c r="A296" s="16" t="s">
        <v>3454</v>
      </c>
      <c r="B296" s="16" t="s">
        <v>1785</v>
      </c>
      <c r="C296" s="17" t="s">
        <v>1786</v>
      </c>
      <c r="D296" s="17" t="s">
        <v>3455</v>
      </c>
      <c r="E296" s="16" t="s">
        <v>2014</v>
      </c>
      <c r="F296" s="17" t="s">
        <v>3456</v>
      </c>
      <c r="G296" s="17" t="s">
        <v>3457</v>
      </c>
      <c r="H296" s="17" t="s">
        <v>3458</v>
      </c>
      <c r="I296" s="20" t="s">
        <v>2011</v>
      </c>
      <c r="J296" s="21"/>
    </row>
    <row r="297" spans="1:10" ht="27" customHeight="1" x14ac:dyDescent="0.25">
      <c r="A297" s="18" t="s">
        <v>3459</v>
      </c>
      <c r="B297" s="18" t="s">
        <v>1785</v>
      </c>
      <c r="C297" s="19" t="s">
        <v>1786</v>
      </c>
      <c r="D297" s="19" t="s">
        <v>3460</v>
      </c>
      <c r="E297" s="18" t="s">
        <v>2035</v>
      </c>
      <c r="F297" s="19" t="s">
        <v>3461</v>
      </c>
      <c r="G297" s="19" t="s">
        <v>3462</v>
      </c>
      <c r="H297" s="19" t="s">
        <v>3463</v>
      </c>
      <c r="I297" s="20" t="s">
        <v>2011</v>
      </c>
      <c r="J297" s="21"/>
    </row>
    <row r="298" spans="1:10" ht="27" customHeight="1" x14ac:dyDescent="0.25">
      <c r="A298" s="16" t="s">
        <v>3464</v>
      </c>
      <c r="B298" s="16" t="s">
        <v>1795</v>
      </c>
      <c r="C298" s="17" t="s">
        <v>1796</v>
      </c>
      <c r="D298" s="17" t="s">
        <v>3465</v>
      </c>
      <c r="E298" s="16" t="s">
        <v>2007</v>
      </c>
      <c r="F298" s="17" t="s">
        <v>3466</v>
      </c>
      <c r="G298" s="17" t="s">
        <v>3467</v>
      </c>
      <c r="H298" s="17" t="s">
        <v>3468</v>
      </c>
      <c r="I298" s="20" t="s">
        <v>2011</v>
      </c>
      <c r="J298" s="21"/>
    </row>
    <row r="299" spans="1:10" ht="27" customHeight="1" x14ac:dyDescent="0.25">
      <c r="A299" s="18" t="s">
        <v>3469</v>
      </c>
      <c r="B299" s="18" t="s">
        <v>1795</v>
      </c>
      <c r="C299" s="19" t="s">
        <v>1796</v>
      </c>
      <c r="D299" s="19" t="s">
        <v>3470</v>
      </c>
      <c r="E299" s="18" t="s">
        <v>2014</v>
      </c>
      <c r="F299" s="19" t="s">
        <v>3471</v>
      </c>
      <c r="G299" s="19" t="s">
        <v>3472</v>
      </c>
      <c r="H299" s="19" t="s">
        <v>3473</v>
      </c>
      <c r="I299" s="20" t="s">
        <v>2011</v>
      </c>
      <c r="J299" s="21"/>
    </row>
    <row r="300" spans="1:10" ht="40.5" customHeight="1" x14ac:dyDescent="0.25">
      <c r="A300" s="16" t="s">
        <v>3474</v>
      </c>
      <c r="B300" s="16" t="s">
        <v>1805</v>
      </c>
      <c r="C300" s="17" t="s">
        <v>1806</v>
      </c>
      <c r="D300" s="17" t="s">
        <v>3475</v>
      </c>
      <c r="E300" s="16" t="s">
        <v>2007</v>
      </c>
      <c r="F300" s="17" t="s">
        <v>3476</v>
      </c>
      <c r="G300" s="17" t="s">
        <v>3477</v>
      </c>
      <c r="H300" s="17" t="s">
        <v>3478</v>
      </c>
      <c r="I300" s="20" t="s">
        <v>2011</v>
      </c>
      <c r="J300" s="21"/>
    </row>
    <row r="301" spans="1:10" ht="27" customHeight="1" x14ac:dyDescent="0.25">
      <c r="A301" s="18" t="s">
        <v>3479</v>
      </c>
      <c r="B301" s="18" t="s">
        <v>1805</v>
      </c>
      <c r="C301" s="19" t="s">
        <v>1806</v>
      </c>
      <c r="D301" s="19" t="s">
        <v>3480</v>
      </c>
      <c r="E301" s="18" t="s">
        <v>2014</v>
      </c>
      <c r="F301" s="19" t="s">
        <v>2957</v>
      </c>
      <c r="G301" s="19" t="s">
        <v>3481</v>
      </c>
      <c r="H301" s="19" t="s">
        <v>3482</v>
      </c>
      <c r="I301" s="20" t="s">
        <v>2011</v>
      </c>
      <c r="J301" s="21"/>
    </row>
    <row r="302" spans="1:10" ht="27" customHeight="1" x14ac:dyDescent="0.25">
      <c r="A302" s="16" t="s">
        <v>3483</v>
      </c>
      <c r="B302" s="16" t="s">
        <v>1815</v>
      </c>
      <c r="C302" s="17" t="s">
        <v>1816</v>
      </c>
      <c r="D302" s="17" t="s">
        <v>3484</v>
      </c>
      <c r="E302" s="16" t="s">
        <v>2007</v>
      </c>
      <c r="F302" s="17" t="s">
        <v>3485</v>
      </c>
      <c r="G302" s="17" t="s">
        <v>3486</v>
      </c>
      <c r="H302" s="17" t="s">
        <v>3487</v>
      </c>
      <c r="I302" s="20" t="s">
        <v>2011</v>
      </c>
      <c r="J302" s="21"/>
    </row>
    <row r="303" spans="1:10" ht="27" customHeight="1" x14ac:dyDescent="0.25">
      <c r="A303" s="18" t="s">
        <v>3488</v>
      </c>
      <c r="B303" s="18" t="s">
        <v>1815</v>
      </c>
      <c r="C303" s="19" t="s">
        <v>1816</v>
      </c>
      <c r="D303" s="19" t="s">
        <v>3489</v>
      </c>
      <c r="E303" s="18" t="s">
        <v>2035</v>
      </c>
      <c r="F303" s="19" t="s">
        <v>3490</v>
      </c>
      <c r="G303" s="19" t="s">
        <v>3491</v>
      </c>
      <c r="H303" s="19" t="s">
        <v>3492</v>
      </c>
      <c r="I303" s="20" t="s">
        <v>2011</v>
      </c>
      <c r="J303" s="21"/>
    </row>
    <row r="304" spans="1:10" ht="40.5" customHeight="1" x14ac:dyDescent="0.25">
      <c r="A304" s="16" t="s">
        <v>3493</v>
      </c>
      <c r="B304" s="16" t="s">
        <v>1824</v>
      </c>
      <c r="C304" s="17" t="s">
        <v>1825</v>
      </c>
      <c r="D304" s="17" t="s">
        <v>3494</v>
      </c>
      <c r="E304" s="16" t="s">
        <v>2007</v>
      </c>
      <c r="F304" s="17" t="s">
        <v>3495</v>
      </c>
      <c r="G304" s="17" t="s">
        <v>3496</v>
      </c>
      <c r="H304" s="17" t="s">
        <v>3497</v>
      </c>
      <c r="I304" s="20" t="s">
        <v>2011</v>
      </c>
      <c r="J304" s="21"/>
    </row>
    <row r="305" spans="1:10" ht="27" customHeight="1" x14ac:dyDescent="0.25">
      <c r="A305" s="18" t="s">
        <v>3498</v>
      </c>
      <c r="B305" s="18" t="s">
        <v>1824</v>
      </c>
      <c r="C305" s="19" t="s">
        <v>1825</v>
      </c>
      <c r="D305" s="19" t="s">
        <v>3499</v>
      </c>
      <c r="E305" s="18" t="s">
        <v>2014</v>
      </c>
      <c r="F305" s="19" t="s">
        <v>3500</v>
      </c>
      <c r="G305" s="19" t="s">
        <v>3501</v>
      </c>
      <c r="H305" s="19" t="s">
        <v>3502</v>
      </c>
      <c r="I305" s="20" t="s">
        <v>2011</v>
      </c>
      <c r="J305" s="21"/>
    </row>
    <row r="306" spans="1:10" ht="27" customHeight="1" x14ac:dyDescent="0.25">
      <c r="A306" s="16" t="s">
        <v>3503</v>
      </c>
      <c r="B306" s="16" t="s">
        <v>1824</v>
      </c>
      <c r="C306" s="17" t="s">
        <v>1825</v>
      </c>
      <c r="D306" s="17" t="s">
        <v>3504</v>
      </c>
      <c r="E306" s="16" t="s">
        <v>2035</v>
      </c>
      <c r="F306" s="17" t="s">
        <v>3505</v>
      </c>
      <c r="G306" s="17" t="s">
        <v>3506</v>
      </c>
      <c r="H306" s="17" t="s">
        <v>3507</v>
      </c>
      <c r="I306" s="20" t="s">
        <v>2011</v>
      </c>
      <c r="J306" s="21"/>
    </row>
    <row r="307" spans="1:10" ht="27" customHeight="1" x14ac:dyDescent="0.25">
      <c r="A307" s="18" t="s">
        <v>3508</v>
      </c>
      <c r="B307" s="18" t="s">
        <v>1837</v>
      </c>
      <c r="C307" s="19" t="s">
        <v>1839</v>
      </c>
      <c r="D307" s="19" t="s">
        <v>3509</v>
      </c>
      <c r="E307" s="18" t="s">
        <v>2007</v>
      </c>
      <c r="F307" s="19" t="s">
        <v>3510</v>
      </c>
      <c r="G307" s="19" t="s">
        <v>3511</v>
      </c>
      <c r="H307" s="19" t="s">
        <v>3512</v>
      </c>
      <c r="I307" s="20" t="s">
        <v>2011</v>
      </c>
      <c r="J307" s="21"/>
    </row>
    <row r="308" spans="1:10" ht="27" customHeight="1" x14ac:dyDescent="0.25">
      <c r="A308" s="16" t="s">
        <v>3513</v>
      </c>
      <c r="B308" s="16" t="s">
        <v>1837</v>
      </c>
      <c r="C308" s="17" t="s">
        <v>1839</v>
      </c>
      <c r="D308" s="17" t="s">
        <v>3499</v>
      </c>
      <c r="E308" s="16" t="s">
        <v>2014</v>
      </c>
      <c r="F308" s="17" t="s">
        <v>3514</v>
      </c>
      <c r="G308" s="17" t="s">
        <v>3515</v>
      </c>
      <c r="H308" s="17" t="s">
        <v>3516</v>
      </c>
      <c r="I308" s="20" t="s">
        <v>2011</v>
      </c>
      <c r="J308" s="21"/>
    </row>
    <row r="309" spans="1:10" ht="27" customHeight="1" x14ac:dyDescent="0.25">
      <c r="A309" s="18" t="s">
        <v>3517</v>
      </c>
      <c r="B309" s="18" t="s">
        <v>1851</v>
      </c>
      <c r="C309" s="19" t="s">
        <v>1852</v>
      </c>
      <c r="D309" s="19" t="s">
        <v>3518</v>
      </c>
      <c r="E309" s="18" t="s">
        <v>2007</v>
      </c>
      <c r="F309" s="19" t="s">
        <v>3519</v>
      </c>
      <c r="G309" s="19" t="s">
        <v>3520</v>
      </c>
      <c r="H309" s="19" t="s">
        <v>3521</v>
      </c>
      <c r="I309" s="20" t="s">
        <v>2011</v>
      </c>
      <c r="J309" s="21"/>
    </row>
    <row r="310" spans="1:10" ht="27" customHeight="1" x14ac:dyDescent="0.25">
      <c r="A310" s="16" t="s">
        <v>3522</v>
      </c>
      <c r="B310" s="16" t="s">
        <v>1851</v>
      </c>
      <c r="C310" s="17" t="s">
        <v>1852</v>
      </c>
      <c r="D310" s="17" t="s">
        <v>3523</v>
      </c>
      <c r="E310" s="16" t="s">
        <v>2014</v>
      </c>
      <c r="F310" s="17" t="s">
        <v>3524</v>
      </c>
      <c r="G310" s="17" t="s">
        <v>3525</v>
      </c>
      <c r="H310" s="17" t="s">
        <v>3526</v>
      </c>
      <c r="I310" s="20" t="s">
        <v>2011</v>
      </c>
      <c r="J310" s="21"/>
    </row>
    <row r="311" spans="1:10" ht="27" customHeight="1" x14ac:dyDescent="0.25">
      <c r="A311" s="18" t="s">
        <v>3527</v>
      </c>
      <c r="B311" s="18" t="s">
        <v>1851</v>
      </c>
      <c r="C311" s="19" t="s">
        <v>1852</v>
      </c>
      <c r="D311" s="19" t="s">
        <v>3528</v>
      </c>
      <c r="E311" s="18" t="s">
        <v>2035</v>
      </c>
      <c r="F311" s="19" t="s">
        <v>3529</v>
      </c>
      <c r="G311" s="19" t="s">
        <v>3530</v>
      </c>
      <c r="H311" s="19" t="s">
        <v>3531</v>
      </c>
      <c r="I311" s="20" t="s">
        <v>2011</v>
      </c>
      <c r="J311" s="21"/>
    </row>
    <row r="312" spans="1:10" ht="27" customHeight="1" x14ac:dyDescent="0.25">
      <c r="A312" s="16" t="s">
        <v>3532</v>
      </c>
      <c r="B312" s="16" t="s">
        <v>1862</v>
      </c>
      <c r="C312" s="17" t="s">
        <v>1863</v>
      </c>
      <c r="D312" s="17" t="s">
        <v>3533</v>
      </c>
      <c r="E312" s="16" t="s">
        <v>2007</v>
      </c>
      <c r="F312" s="17" t="s">
        <v>3534</v>
      </c>
      <c r="G312" s="17" t="s">
        <v>3535</v>
      </c>
      <c r="H312" s="17" t="s">
        <v>3536</v>
      </c>
      <c r="I312" s="20" t="s">
        <v>2011</v>
      </c>
      <c r="J312" s="21"/>
    </row>
    <row r="313" spans="1:10" ht="27" customHeight="1" x14ac:dyDescent="0.25">
      <c r="A313" s="18" t="s">
        <v>3537</v>
      </c>
      <c r="B313" s="18" t="s">
        <v>1862</v>
      </c>
      <c r="C313" s="19" t="s">
        <v>1863</v>
      </c>
      <c r="D313" s="19" t="s">
        <v>3538</v>
      </c>
      <c r="E313" s="18" t="s">
        <v>2014</v>
      </c>
      <c r="F313" s="19" t="s">
        <v>3539</v>
      </c>
      <c r="G313" s="19" t="s">
        <v>3540</v>
      </c>
      <c r="H313" s="19" t="s">
        <v>3541</v>
      </c>
      <c r="I313" s="20" t="s">
        <v>2011</v>
      </c>
      <c r="J313" s="21"/>
    </row>
    <row r="314" spans="1:10" ht="27" customHeight="1" x14ac:dyDescent="0.25">
      <c r="A314" s="16" t="s">
        <v>3542</v>
      </c>
      <c r="B314" s="16" t="s">
        <v>1874</v>
      </c>
      <c r="C314" s="17" t="s">
        <v>1875</v>
      </c>
      <c r="D314" s="17" t="s">
        <v>3543</v>
      </c>
      <c r="E314" s="16" t="s">
        <v>2007</v>
      </c>
      <c r="F314" s="17" t="s">
        <v>3544</v>
      </c>
      <c r="G314" s="17" t="s">
        <v>3545</v>
      </c>
      <c r="H314" s="17" t="s">
        <v>3546</v>
      </c>
      <c r="I314" s="20" t="s">
        <v>2011</v>
      </c>
      <c r="J314" s="21"/>
    </row>
    <row r="315" spans="1:10" ht="27" customHeight="1" x14ac:dyDescent="0.25">
      <c r="A315" s="18" t="s">
        <v>3547</v>
      </c>
      <c r="B315" s="18" t="s">
        <v>1874</v>
      </c>
      <c r="C315" s="19" t="s">
        <v>1875</v>
      </c>
      <c r="D315" s="19" t="s">
        <v>3548</v>
      </c>
      <c r="E315" s="18" t="s">
        <v>2014</v>
      </c>
      <c r="F315" s="19" t="s">
        <v>3549</v>
      </c>
      <c r="G315" s="19" t="s">
        <v>3550</v>
      </c>
      <c r="H315" s="19" t="s">
        <v>3551</v>
      </c>
      <c r="I315" s="20" t="s">
        <v>2011</v>
      </c>
      <c r="J315" s="21"/>
    </row>
    <row r="316" spans="1:10" ht="27" customHeight="1" x14ac:dyDescent="0.25">
      <c r="A316" s="16" t="s">
        <v>3552</v>
      </c>
      <c r="B316" s="16" t="s">
        <v>1885</v>
      </c>
      <c r="C316" s="17" t="s">
        <v>1886</v>
      </c>
      <c r="D316" s="17" t="s">
        <v>3553</v>
      </c>
      <c r="E316" s="16" t="s">
        <v>2007</v>
      </c>
      <c r="F316" s="17" t="s">
        <v>3554</v>
      </c>
      <c r="G316" s="17" t="s">
        <v>3555</v>
      </c>
      <c r="H316" s="17" t="s">
        <v>3556</v>
      </c>
      <c r="I316" s="20" t="s">
        <v>2011</v>
      </c>
      <c r="J316" s="21"/>
    </row>
    <row r="317" spans="1:10" ht="27" customHeight="1" x14ac:dyDescent="0.25">
      <c r="A317" s="18" t="s">
        <v>3557</v>
      </c>
      <c r="B317" s="18" t="s">
        <v>1885</v>
      </c>
      <c r="C317" s="19" t="s">
        <v>1886</v>
      </c>
      <c r="D317" s="19" t="s">
        <v>3558</v>
      </c>
      <c r="E317" s="18" t="s">
        <v>2035</v>
      </c>
      <c r="F317" s="19" t="s">
        <v>3559</v>
      </c>
      <c r="G317" s="19" t="s">
        <v>3560</v>
      </c>
      <c r="H317" s="19" t="s">
        <v>3561</v>
      </c>
      <c r="I317" s="20" t="s">
        <v>2011</v>
      </c>
      <c r="J317" s="21"/>
    </row>
    <row r="318" spans="1:10" ht="27" customHeight="1" x14ac:dyDescent="0.25">
      <c r="A318" s="16" t="s">
        <v>3562</v>
      </c>
      <c r="B318" s="16" t="s">
        <v>1893</v>
      </c>
      <c r="C318" s="17" t="s">
        <v>1895</v>
      </c>
      <c r="D318" s="17" t="s">
        <v>3563</v>
      </c>
      <c r="E318" s="16" t="s">
        <v>2007</v>
      </c>
      <c r="F318" s="17" t="s">
        <v>3564</v>
      </c>
      <c r="G318" s="17" t="s">
        <v>3565</v>
      </c>
      <c r="H318" s="17" t="s">
        <v>3566</v>
      </c>
      <c r="I318" s="20" t="s">
        <v>2011</v>
      </c>
      <c r="J318" s="21"/>
    </row>
    <row r="319" spans="1:10" ht="27" customHeight="1" x14ac:dyDescent="0.25">
      <c r="A319" s="18" t="s">
        <v>3567</v>
      </c>
      <c r="B319" s="18" t="s">
        <v>1893</v>
      </c>
      <c r="C319" s="19" t="s">
        <v>1895</v>
      </c>
      <c r="D319" s="19" t="s">
        <v>3568</v>
      </c>
      <c r="E319" s="18" t="s">
        <v>2014</v>
      </c>
      <c r="F319" s="19" t="s">
        <v>3569</v>
      </c>
      <c r="G319" s="19" t="s">
        <v>3570</v>
      </c>
      <c r="H319" s="19" t="s">
        <v>3571</v>
      </c>
      <c r="I319" s="20" t="s">
        <v>2011</v>
      </c>
      <c r="J319" s="21"/>
    </row>
    <row r="320" spans="1:10" ht="27" customHeight="1" x14ac:dyDescent="0.25">
      <c r="A320" s="16" t="s">
        <v>3572</v>
      </c>
      <c r="B320" s="16" t="s">
        <v>1905</v>
      </c>
      <c r="C320" s="17" t="s">
        <v>1906</v>
      </c>
      <c r="D320" s="17" t="s">
        <v>3573</v>
      </c>
      <c r="E320" s="16" t="s">
        <v>2007</v>
      </c>
      <c r="F320" s="17" t="s">
        <v>3574</v>
      </c>
      <c r="G320" s="17" t="s">
        <v>3575</v>
      </c>
      <c r="H320" s="17" t="s">
        <v>3576</v>
      </c>
      <c r="I320" s="20" t="s">
        <v>2011</v>
      </c>
      <c r="J320" s="21"/>
    </row>
    <row r="321" spans="1:10" ht="27" customHeight="1" x14ac:dyDescent="0.25">
      <c r="A321" s="18" t="s">
        <v>3577</v>
      </c>
      <c r="B321" s="18" t="s">
        <v>1905</v>
      </c>
      <c r="C321" s="19" t="s">
        <v>1906</v>
      </c>
      <c r="D321" s="19" t="s">
        <v>3578</v>
      </c>
      <c r="E321" s="18" t="s">
        <v>2014</v>
      </c>
      <c r="F321" s="19" t="s">
        <v>3579</v>
      </c>
      <c r="G321" s="19" t="s">
        <v>3580</v>
      </c>
      <c r="H321" s="19" t="s">
        <v>3581</v>
      </c>
      <c r="I321" s="20" t="s">
        <v>2011</v>
      </c>
      <c r="J321" s="21"/>
    </row>
    <row r="322" spans="1:10" ht="27" customHeight="1" x14ac:dyDescent="0.25">
      <c r="A322" s="16" t="s">
        <v>3582</v>
      </c>
      <c r="B322" s="16" t="s">
        <v>1905</v>
      </c>
      <c r="C322" s="17" t="s">
        <v>1906</v>
      </c>
      <c r="D322" s="17" t="s">
        <v>3583</v>
      </c>
      <c r="E322" s="16" t="s">
        <v>2014</v>
      </c>
      <c r="F322" s="17" t="s">
        <v>3584</v>
      </c>
      <c r="G322" s="17" t="s">
        <v>3585</v>
      </c>
      <c r="H322" s="17" t="s">
        <v>3586</v>
      </c>
      <c r="I322" s="20" t="s">
        <v>2011</v>
      </c>
      <c r="J322" s="21"/>
    </row>
    <row r="323" spans="1:10" ht="27" customHeight="1" x14ac:dyDescent="0.25">
      <c r="A323" s="18" t="s">
        <v>3587</v>
      </c>
      <c r="B323" s="18" t="s">
        <v>1915</v>
      </c>
      <c r="C323" s="19" t="s">
        <v>1916</v>
      </c>
      <c r="D323" s="19" t="s">
        <v>3588</v>
      </c>
      <c r="E323" s="18" t="s">
        <v>2007</v>
      </c>
      <c r="F323" s="19" t="s">
        <v>3589</v>
      </c>
      <c r="G323" s="19" t="s">
        <v>3590</v>
      </c>
      <c r="H323" s="19" t="s">
        <v>3591</v>
      </c>
      <c r="I323" s="20" t="s">
        <v>2011</v>
      </c>
      <c r="J323" s="21"/>
    </row>
    <row r="324" spans="1:10" ht="27" customHeight="1" x14ac:dyDescent="0.25">
      <c r="A324" s="16" t="s">
        <v>3592</v>
      </c>
      <c r="B324" s="16" t="s">
        <v>1915</v>
      </c>
      <c r="C324" s="17" t="s">
        <v>1916</v>
      </c>
      <c r="D324" s="17" t="s">
        <v>3593</v>
      </c>
      <c r="E324" s="16" t="s">
        <v>2014</v>
      </c>
      <c r="F324" s="17" t="s">
        <v>3594</v>
      </c>
      <c r="G324" s="17" t="s">
        <v>3595</v>
      </c>
      <c r="H324" s="17" t="s">
        <v>3596</v>
      </c>
      <c r="I324" s="20" t="s">
        <v>2011</v>
      </c>
      <c r="J324" s="21"/>
    </row>
    <row r="325" spans="1:10" ht="27" customHeight="1" x14ac:dyDescent="0.25">
      <c r="A325" s="18" t="s">
        <v>3597</v>
      </c>
      <c r="B325" s="18" t="s">
        <v>1915</v>
      </c>
      <c r="C325" s="19" t="s">
        <v>1916</v>
      </c>
      <c r="D325" s="19" t="s">
        <v>3598</v>
      </c>
      <c r="E325" s="18" t="s">
        <v>2035</v>
      </c>
      <c r="F325" s="19" t="s">
        <v>3599</v>
      </c>
      <c r="G325" s="19" t="s">
        <v>3600</v>
      </c>
      <c r="H325" s="19" t="s">
        <v>3601</v>
      </c>
      <c r="I325" s="20" t="s">
        <v>2011</v>
      </c>
      <c r="J325" s="21"/>
    </row>
    <row r="326" spans="1:10" ht="27" customHeight="1" x14ac:dyDescent="0.25">
      <c r="A326" s="16" t="s">
        <v>3602</v>
      </c>
      <c r="B326" s="16" t="s">
        <v>1927</v>
      </c>
      <c r="C326" s="17" t="s">
        <v>1928</v>
      </c>
      <c r="D326" s="17" t="s">
        <v>3603</v>
      </c>
      <c r="E326" s="16" t="s">
        <v>2007</v>
      </c>
      <c r="F326" s="17" t="s">
        <v>3604</v>
      </c>
      <c r="G326" s="17" t="s">
        <v>3605</v>
      </c>
      <c r="H326" s="17" t="s">
        <v>3606</v>
      </c>
      <c r="I326" s="20" t="s">
        <v>2011</v>
      </c>
      <c r="J326" s="21"/>
    </row>
    <row r="327" spans="1:10" ht="27" customHeight="1" x14ac:dyDescent="0.25">
      <c r="A327" s="18" t="s">
        <v>3607</v>
      </c>
      <c r="B327" s="18" t="s">
        <v>1927</v>
      </c>
      <c r="C327" s="19" t="s">
        <v>1928</v>
      </c>
      <c r="D327" s="19" t="s">
        <v>3608</v>
      </c>
      <c r="E327" s="18" t="s">
        <v>2014</v>
      </c>
      <c r="F327" s="19" t="s">
        <v>3609</v>
      </c>
      <c r="G327" s="19" t="s">
        <v>3610</v>
      </c>
      <c r="H327" s="19" t="s">
        <v>3611</v>
      </c>
      <c r="I327" s="20" t="s">
        <v>2011</v>
      </c>
      <c r="J327" s="21"/>
    </row>
    <row r="328" spans="1:10" ht="27" customHeight="1" x14ac:dyDescent="0.25">
      <c r="A328" s="16" t="s">
        <v>3612</v>
      </c>
      <c r="B328" s="16" t="s">
        <v>1927</v>
      </c>
      <c r="C328" s="17" t="s">
        <v>1928</v>
      </c>
      <c r="D328" s="17" t="s">
        <v>3613</v>
      </c>
      <c r="E328" s="16" t="s">
        <v>2035</v>
      </c>
      <c r="F328" s="17" t="s">
        <v>3614</v>
      </c>
      <c r="G328" s="17" t="s">
        <v>3615</v>
      </c>
      <c r="H328" s="17" t="s">
        <v>3616</v>
      </c>
      <c r="I328" s="20" t="s">
        <v>2011</v>
      </c>
      <c r="J328" s="21"/>
    </row>
    <row r="329" spans="1:10" ht="27" customHeight="1" x14ac:dyDescent="0.25">
      <c r="A329" s="18" t="s">
        <v>3617</v>
      </c>
      <c r="B329" s="18" t="s">
        <v>1938</v>
      </c>
      <c r="C329" s="19" t="s">
        <v>1940</v>
      </c>
      <c r="D329" s="19" t="s">
        <v>3618</v>
      </c>
      <c r="E329" s="18" t="s">
        <v>2007</v>
      </c>
      <c r="F329" s="19" t="s">
        <v>3619</v>
      </c>
      <c r="G329" s="19" t="s">
        <v>3620</v>
      </c>
      <c r="H329" s="19" t="s">
        <v>3621</v>
      </c>
      <c r="I329" s="20" t="s">
        <v>2011</v>
      </c>
      <c r="J329" s="21"/>
    </row>
    <row r="330" spans="1:10" ht="27" customHeight="1" x14ac:dyDescent="0.25">
      <c r="A330" s="16" t="s">
        <v>3622</v>
      </c>
      <c r="B330" s="16" t="s">
        <v>1938</v>
      </c>
      <c r="C330" s="17" t="s">
        <v>1940</v>
      </c>
      <c r="D330" s="17" t="s">
        <v>3623</v>
      </c>
      <c r="E330" s="16" t="s">
        <v>2014</v>
      </c>
      <c r="F330" s="17" t="s">
        <v>3624</v>
      </c>
      <c r="G330" s="17" t="s">
        <v>3625</v>
      </c>
      <c r="H330" s="17" t="s">
        <v>3626</v>
      </c>
      <c r="I330" s="20" t="s">
        <v>2011</v>
      </c>
      <c r="J330" s="21"/>
    </row>
    <row r="331" spans="1:10" ht="27" customHeight="1" x14ac:dyDescent="0.25">
      <c r="A331" s="18" t="s">
        <v>3627</v>
      </c>
      <c r="B331" s="18" t="s">
        <v>1951</v>
      </c>
      <c r="C331" s="19" t="s">
        <v>1952</v>
      </c>
      <c r="D331" s="19" t="s">
        <v>3628</v>
      </c>
      <c r="E331" s="18" t="s">
        <v>2007</v>
      </c>
      <c r="F331" s="19" t="s">
        <v>3629</v>
      </c>
      <c r="G331" s="19" t="s">
        <v>3630</v>
      </c>
      <c r="H331" s="19" t="s">
        <v>3631</v>
      </c>
      <c r="I331" s="20" t="s">
        <v>2011</v>
      </c>
      <c r="J331" s="21"/>
    </row>
    <row r="332" spans="1:10" ht="27" customHeight="1" x14ac:dyDescent="0.25">
      <c r="A332" s="16" t="s">
        <v>3632</v>
      </c>
      <c r="B332" s="16" t="s">
        <v>1951</v>
      </c>
      <c r="C332" s="17" t="s">
        <v>1952</v>
      </c>
      <c r="D332" s="17" t="s">
        <v>3633</v>
      </c>
      <c r="E332" s="16" t="s">
        <v>2014</v>
      </c>
      <c r="F332" s="17" t="s">
        <v>3634</v>
      </c>
      <c r="G332" s="17" t="s">
        <v>3635</v>
      </c>
      <c r="H332" s="17" t="s">
        <v>3636</v>
      </c>
      <c r="I332" s="20" t="s">
        <v>2011</v>
      </c>
      <c r="J332" s="21"/>
    </row>
    <row r="333" spans="1:10" ht="27" customHeight="1" x14ac:dyDescent="0.25">
      <c r="A333" s="18" t="s">
        <v>3637</v>
      </c>
      <c r="B333" s="18" t="s">
        <v>1951</v>
      </c>
      <c r="C333" s="19" t="s">
        <v>1952</v>
      </c>
      <c r="D333" s="19" t="s">
        <v>3638</v>
      </c>
      <c r="E333" s="18" t="s">
        <v>2007</v>
      </c>
      <c r="F333" s="19" t="s">
        <v>3639</v>
      </c>
      <c r="G333" s="19" t="s">
        <v>3640</v>
      </c>
      <c r="H333" s="19" t="s">
        <v>3641</v>
      </c>
      <c r="I333" s="20" t="s">
        <v>2011</v>
      </c>
      <c r="J333" s="21"/>
    </row>
    <row r="334" spans="1:10" ht="27" customHeight="1" x14ac:dyDescent="0.25">
      <c r="A334" s="16" t="s">
        <v>3642</v>
      </c>
      <c r="B334" s="16" t="s">
        <v>1962</v>
      </c>
      <c r="C334" s="17" t="s">
        <v>1963</v>
      </c>
      <c r="D334" s="17" t="s">
        <v>3643</v>
      </c>
      <c r="E334" s="16" t="s">
        <v>2007</v>
      </c>
      <c r="F334" s="17" t="s">
        <v>3644</v>
      </c>
      <c r="G334" s="17" t="s">
        <v>3645</v>
      </c>
      <c r="H334" s="17" t="s">
        <v>3646</v>
      </c>
      <c r="I334" s="20" t="s">
        <v>2011</v>
      </c>
      <c r="J334" s="21"/>
    </row>
    <row r="335" spans="1:10" ht="40.5" customHeight="1" x14ac:dyDescent="0.25">
      <c r="A335" s="18" t="s">
        <v>3647</v>
      </c>
      <c r="B335" s="18" t="s">
        <v>1962</v>
      </c>
      <c r="C335" s="19" t="s">
        <v>1963</v>
      </c>
      <c r="D335" s="19" t="s">
        <v>3648</v>
      </c>
      <c r="E335" s="18" t="s">
        <v>2035</v>
      </c>
      <c r="F335" s="19" t="s">
        <v>3649</v>
      </c>
      <c r="G335" s="19" t="s">
        <v>3650</v>
      </c>
      <c r="H335" s="19" t="s">
        <v>3651</v>
      </c>
      <c r="I335" s="20" t="s">
        <v>2011</v>
      </c>
      <c r="J335" s="21"/>
    </row>
    <row r="336" spans="1:10" ht="40.5" customHeight="1" x14ac:dyDescent="0.25">
      <c r="A336" s="16" t="s">
        <v>3652</v>
      </c>
      <c r="B336" s="16" t="s">
        <v>1962</v>
      </c>
      <c r="C336" s="17" t="s">
        <v>1963</v>
      </c>
      <c r="D336" s="17" t="s">
        <v>3653</v>
      </c>
      <c r="E336" s="16" t="s">
        <v>2035</v>
      </c>
      <c r="F336" s="17" t="s">
        <v>3654</v>
      </c>
      <c r="G336" s="17" t="s">
        <v>3655</v>
      </c>
      <c r="H336" s="17" t="s">
        <v>3656</v>
      </c>
      <c r="I336" s="20" t="s">
        <v>2011</v>
      </c>
      <c r="J336" s="21"/>
    </row>
    <row r="337" spans="1:10" ht="27" customHeight="1" x14ac:dyDescent="0.25">
      <c r="A337" s="18" t="s">
        <v>3657</v>
      </c>
      <c r="B337" s="18" t="s">
        <v>1973</v>
      </c>
      <c r="C337" s="19" t="s">
        <v>1974</v>
      </c>
      <c r="D337" s="19" t="s">
        <v>3658</v>
      </c>
      <c r="E337" s="18" t="s">
        <v>2007</v>
      </c>
      <c r="F337" s="19" t="s">
        <v>3659</v>
      </c>
      <c r="G337" s="19" t="s">
        <v>3660</v>
      </c>
      <c r="H337" s="19" t="s">
        <v>3661</v>
      </c>
      <c r="I337" s="20" t="s">
        <v>2011</v>
      </c>
      <c r="J337" s="21"/>
    </row>
    <row r="338" spans="1:10" ht="27" customHeight="1" x14ac:dyDescent="0.25">
      <c r="A338" s="16" t="s">
        <v>3662</v>
      </c>
      <c r="B338" s="16" t="s">
        <v>1973</v>
      </c>
      <c r="C338" s="17" t="s">
        <v>1974</v>
      </c>
      <c r="D338" s="17" t="s">
        <v>3663</v>
      </c>
      <c r="E338" s="16" t="s">
        <v>2014</v>
      </c>
      <c r="F338" s="17" t="s">
        <v>3664</v>
      </c>
      <c r="G338" s="17" t="s">
        <v>3665</v>
      </c>
      <c r="H338" s="17" t="s">
        <v>3666</v>
      </c>
      <c r="I338" s="20" t="s">
        <v>2011</v>
      </c>
      <c r="J338" s="21"/>
    </row>
    <row r="339" spans="1:10" ht="27" customHeight="1" x14ac:dyDescent="0.25">
      <c r="A339" s="18" t="s">
        <v>3667</v>
      </c>
      <c r="B339" s="18" t="s">
        <v>1984</v>
      </c>
      <c r="C339" s="19" t="s">
        <v>1985</v>
      </c>
      <c r="D339" s="19" t="s">
        <v>3668</v>
      </c>
      <c r="E339" s="18" t="s">
        <v>2007</v>
      </c>
      <c r="F339" s="19" t="s">
        <v>3669</v>
      </c>
      <c r="G339" s="19" t="s">
        <v>3670</v>
      </c>
      <c r="H339" s="19" t="s">
        <v>3671</v>
      </c>
      <c r="I339" s="20" t="s">
        <v>2011</v>
      </c>
      <c r="J339" s="21"/>
    </row>
    <row r="340" spans="1:10" ht="27" customHeight="1" x14ac:dyDescent="0.25">
      <c r="A340" s="16" t="s">
        <v>3672</v>
      </c>
      <c r="B340" s="16" t="s">
        <v>1984</v>
      </c>
      <c r="C340" s="17" t="s">
        <v>1985</v>
      </c>
      <c r="D340" s="17" t="s">
        <v>3673</v>
      </c>
      <c r="E340" s="16" t="s">
        <v>2014</v>
      </c>
      <c r="F340" s="17" t="s">
        <v>3674</v>
      </c>
      <c r="G340" s="17" t="s">
        <v>3675</v>
      </c>
      <c r="H340" s="17" t="s">
        <v>3676</v>
      </c>
      <c r="I340" s="20" t="s">
        <v>2011</v>
      </c>
      <c r="J340" s="21"/>
    </row>
    <row r="341" spans="1:10" ht="27" customHeight="1" x14ac:dyDescent="0.25">
      <c r="A341" s="18" t="s">
        <v>3677</v>
      </c>
      <c r="B341" s="18" t="s">
        <v>1984</v>
      </c>
      <c r="C341" s="19" t="s">
        <v>1985</v>
      </c>
      <c r="D341" s="19" t="s">
        <v>3678</v>
      </c>
      <c r="E341" s="18" t="s">
        <v>2035</v>
      </c>
      <c r="F341" s="19" t="s">
        <v>3679</v>
      </c>
      <c r="G341" s="19" t="s">
        <v>3680</v>
      </c>
      <c r="H341" s="19" t="s">
        <v>3681</v>
      </c>
      <c r="I341" s="20" t="s">
        <v>2011</v>
      </c>
      <c r="J341" s="21"/>
    </row>
  </sheetData>
  <autoFilter ref="A3:J341" xr:uid="{00000000-0009-0000-0000-000007000000}"/>
  <conditionalFormatting sqref="I4:I341">
    <cfRule type="cellIs" dxfId="1" priority="2" operator="equal">
      <formula>"Aprobado"</formula>
    </cfRule>
    <cfRule type="cellIs" dxfId="0" priority="3" operator="equal">
      <formula>"Fallido"</formula>
    </cfRule>
  </conditionalFormatting>
  <dataValidations count="1">
    <dataValidation type="list" allowBlank="1" sqref="I4:I341" xr:uid="{00000000-0002-0000-0700-000000000000}">
      <formula1>"Pendiente,Aprobado,Fallido,Bloqueado,No aplica"</formula1>
      <formula2>0</formula2>
    </dataValidation>
  </dataValidation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A1:J61"/>
  <sheetViews>
    <sheetView showGridLines="0" zoomScaleNormal="100" workbookViewId="0">
      <pane xSplit="1" ySplit="3" topLeftCell="B4" activePane="bottomRight" state="frozen"/>
      <selection pane="topRight" activeCell="B1" sqref="B1"/>
      <selection pane="bottomLeft" activeCell="A4" sqref="A4"/>
      <selection pane="bottomRight" activeCell="F7" sqref="F7"/>
    </sheetView>
  </sheetViews>
  <sheetFormatPr baseColWidth="10" defaultColWidth="8.7109375" defaultRowHeight="15" x14ac:dyDescent="0.25"/>
  <cols>
    <col min="1" max="1" width="14" customWidth="1"/>
    <col min="2" max="2" width="11" customWidth="1"/>
    <col min="3" max="3" width="28.140625" customWidth="1"/>
    <col min="4" max="4" width="31.140625" customWidth="1"/>
    <col min="5" max="5" width="60" customWidth="1"/>
    <col min="6" max="6" width="30" customWidth="1"/>
    <col min="7" max="7" width="34.7109375" customWidth="1"/>
    <col min="8" max="8" width="12" customWidth="1"/>
    <col min="9" max="9" width="10" customWidth="1"/>
    <col min="10" max="10" width="8" customWidth="1"/>
  </cols>
  <sheetData>
    <row r="1" spans="1:10" ht="18" x14ac:dyDescent="0.25">
      <c r="A1" s="9" t="s">
        <v>3682</v>
      </c>
    </row>
    <row r="2" spans="1:10" x14ac:dyDescent="0.25">
      <c r="A2" s="10" t="s">
        <v>3683</v>
      </c>
    </row>
    <row r="3" spans="1:10" ht="27.75" customHeight="1" x14ac:dyDescent="0.25">
      <c r="A3" s="11" t="s">
        <v>66</v>
      </c>
      <c r="B3" s="11" t="s">
        <v>3684</v>
      </c>
      <c r="C3" s="11" t="s">
        <v>3685</v>
      </c>
      <c r="D3" s="11" t="s">
        <v>3686</v>
      </c>
      <c r="E3" s="11" t="s">
        <v>71</v>
      </c>
      <c r="F3" s="11" t="s">
        <v>3687</v>
      </c>
      <c r="G3" s="11" t="s">
        <v>3688</v>
      </c>
      <c r="H3" s="11" t="s">
        <v>3689</v>
      </c>
      <c r="I3" s="11" t="s">
        <v>482</v>
      </c>
      <c r="J3" s="11" t="s">
        <v>72</v>
      </c>
    </row>
    <row r="4" spans="1:10" ht="27" customHeight="1" x14ac:dyDescent="0.25">
      <c r="A4" s="16" t="s">
        <v>3690</v>
      </c>
      <c r="B4" s="16" t="s">
        <v>3691</v>
      </c>
      <c r="C4" s="17" t="s">
        <v>3692</v>
      </c>
      <c r="D4" s="17" t="s">
        <v>3693</v>
      </c>
      <c r="E4" s="17" t="s">
        <v>3694</v>
      </c>
      <c r="F4" s="17" t="s">
        <v>3695</v>
      </c>
      <c r="G4" s="17" t="s">
        <v>3696</v>
      </c>
      <c r="H4" s="17" t="s">
        <v>3697</v>
      </c>
      <c r="I4" s="16" t="s">
        <v>495</v>
      </c>
      <c r="J4" s="16">
        <f>SUMPRODUCT(--ISNUMBER(SEARCH(A4,RF!$Q$4:$Q$141)))</f>
        <v>9</v>
      </c>
    </row>
    <row r="5" spans="1:10" ht="27" customHeight="1" x14ac:dyDescent="0.25">
      <c r="A5" s="18" t="s">
        <v>3698</v>
      </c>
      <c r="B5" s="18" t="s">
        <v>3691</v>
      </c>
      <c r="C5" s="19" t="s">
        <v>3692</v>
      </c>
      <c r="D5" s="19" t="s">
        <v>3693</v>
      </c>
      <c r="E5" s="19" t="s">
        <v>3699</v>
      </c>
      <c r="F5" s="19" t="s">
        <v>3700</v>
      </c>
      <c r="G5" s="19" t="s">
        <v>3701</v>
      </c>
      <c r="H5" s="19" t="s">
        <v>3697</v>
      </c>
      <c r="I5" s="18" t="s">
        <v>495</v>
      </c>
      <c r="J5" s="18">
        <f>SUMPRODUCT(--ISNUMBER(SEARCH(A5,RF!$Q$4:$Q$141)))</f>
        <v>12</v>
      </c>
    </row>
    <row r="6" spans="1:10" ht="27" customHeight="1" x14ac:dyDescent="0.25">
      <c r="A6" s="16" t="s">
        <v>3702</v>
      </c>
      <c r="B6" s="16" t="s">
        <v>3691</v>
      </c>
      <c r="C6" s="17" t="s">
        <v>3692</v>
      </c>
      <c r="D6" s="17" t="s">
        <v>3703</v>
      </c>
      <c r="E6" s="17" t="s">
        <v>3704</v>
      </c>
      <c r="F6" s="17" t="s">
        <v>3705</v>
      </c>
      <c r="G6" s="17" t="s">
        <v>3706</v>
      </c>
      <c r="H6" s="17" t="s">
        <v>3697</v>
      </c>
      <c r="I6" s="16" t="s">
        <v>495</v>
      </c>
      <c r="J6" s="16">
        <f>SUMPRODUCT(--ISNUMBER(SEARCH(A6,RF!$Q$4:$Q$141)))</f>
        <v>0</v>
      </c>
    </row>
    <row r="7" spans="1:10" ht="27" customHeight="1" x14ac:dyDescent="0.25">
      <c r="A7" s="18" t="s">
        <v>3707</v>
      </c>
      <c r="B7" s="18" t="s">
        <v>3691</v>
      </c>
      <c r="C7" s="19" t="s">
        <v>3692</v>
      </c>
      <c r="D7" s="19" t="s">
        <v>3693</v>
      </c>
      <c r="E7" s="19" t="s">
        <v>3708</v>
      </c>
      <c r="F7" s="19" t="s">
        <v>3709</v>
      </c>
      <c r="G7" s="19" t="s">
        <v>3710</v>
      </c>
      <c r="H7" s="19" t="s">
        <v>3697</v>
      </c>
      <c r="I7" s="18" t="s">
        <v>495</v>
      </c>
      <c r="J7" s="18">
        <f>SUMPRODUCT(--ISNUMBER(SEARCH(A7,RF!$Q$4:$Q$141)))</f>
        <v>6</v>
      </c>
    </row>
    <row r="8" spans="1:10" ht="27" customHeight="1" x14ac:dyDescent="0.25">
      <c r="A8" s="16" t="s">
        <v>3711</v>
      </c>
      <c r="B8" s="16" t="s">
        <v>3691</v>
      </c>
      <c r="C8" s="17" t="s">
        <v>3712</v>
      </c>
      <c r="D8" s="17" t="s">
        <v>3713</v>
      </c>
      <c r="E8" s="17" t="s">
        <v>3714</v>
      </c>
      <c r="F8" s="17" t="s">
        <v>3715</v>
      </c>
      <c r="G8" s="17" t="s">
        <v>3716</v>
      </c>
      <c r="H8" s="17" t="s">
        <v>3697</v>
      </c>
      <c r="I8" s="16" t="s">
        <v>495</v>
      </c>
      <c r="J8" s="16">
        <f>SUMPRODUCT(--ISNUMBER(SEARCH(A8,RF!$Q$4:$Q$141)))</f>
        <v>4</v>
      </c>
    </row>
    <row r="9" spans="1:10" ht="27" customHeight="1" x14ac:dyDescent="0.25">
      <c r="A9" s="18" t="s">
        <v>3717</v>
      </c>
      <c r="B9" s="18" t="s">
        <v>3691</v>
      </c>
      <c r="C9" s="19" t="s">
        <v>3712</v>
      </c>
      <c r="D9" s="19" t="s">
        <v>3718</v>
      </c>
      <c r="E9" s="19" t="s">
        <v>3719</v>
      </c>
      <c r="F9" s="19" t="s">
        <v>3720</v>
      </c>
      <c r="G9" s="19" t="s">
        <v>3721</v>
      </c>
      <c r="H9" s="19" t="s">
        <v>3697</v>
      </c>
      <c r="I9" s="18" t="s">
        <v>495</v>
      </c>
      <c r="J9" s="18">
        <f>SUMPRODUCT(--ISNUMBER(SEARCH(A9,RF!$Q$4:$Q$141)))</f>
        <v>1</v>
      </c>
    </row>
    <row r="10" spans="1:10" ht="40.5" customHeight="1" x14ac:dyDescent="0.25">
      <c r="A10" s="16" t="s">
        <v>3722</v>
      </c>
      <c r="B10" s="16" t="s">
        <v>3691</v>
      </c>
      <c r="C10" s="17" t="s">
        <v>3712</v>
      </c>
      <c r="D10" s="17" t="s">
        <v>3723</v>
      </c>
      <c r="E10" s="17" t="s">
        <v>3724</v>
      </c>
      <c r="F10" s="17" t="s">
        <v>3725</v>
      </c>
      <c r="G10" s="17" t="s">
        <v>3726</v>
      </c>
      <c r="H10" s="17" t="s">
        <v>3697</v>
      </c>
      <c r="I10" s="16" t="s">
        <v>495</v>
      </c>
      <c r="J10" s="16">
        <f>SUMPRODUCT(--ISNUMBER(SEARCH(A10,RF!$Q$4:$Q$141)))</f>
        <v>13</v>
      </c>
    </row>
    <row r="11" spans="1:10" ht="27" customHeight="1" x14ac:dyDescent="0.25">
      <c r="A11" s="18" t="s">
        <v>3727</v>
      </c>
      <c r="B11" s="18" t="s">
        <v>3691</v>
      </c>
      <c r="C11" s="19" t="s">
        <v>3712</v>
      </c>
      <c r="D11" s="19" t="s">
        <v>3728</v>
      </c>
      <c r="E11" s="19" t="s">
        <v>3729</v>
      </c>
      <c r="F11" s="19" t="s">
        <v>3730</v>
      </c>
      <c r="G11" s="19" t="s">
        <v>3731</v>
      </c>
      <c r="H11" s="19" t="s">
        <v>3697</v>
      </c>
      <c r="I11" s="18" t="s">
        <v>495</v>
      </c>
      <c r="J11" s="18">
        <f>SUMPRODUCT(--ISNUMBER(SEARCH(A11,RF!$Q$4:$Q$141)))</f>
        <v>10</v>
      </c>
    </row>
    <row r="12" spans="1:10" ht="40.5" customHeight="1" x14ac:dyDescent="0.25">
      <c r="A12" s="16" t="s">
        <v>3732</v>
      </c>
      <c r="B12" s="16" t="s">
        <v>3691</v>
      </c>
      <c r="C12" s="17" t="s">
        <v>3733</v>
      </c>
      <c r="D12" s="17" t="s">
        <v>3734</v>
      </c>
      <c r="E12" s="17" t="s">
        <v>3735</v>
      </c>
      <c r="F12" s="17" t="s">
        <v>3736</v>
      </c>
      <c r="G12" s="17" t="s">
        <v>3737</v>
      </c>
      <c r="H12" s="17" t="s">
        <v>3697</v>
      </c>
      <c r="I12" s="16" t="s">
        <v>495</v>
      </c>
      <c r="J12" s="16">
        <f>SUMPRODUCT(--ISNUMBER(SEARCH(A12,RF!$Q$4:$Q$141)))</f>
        <v>8</v>
      </c>
    </row>
    <row r="13" spans="1:10" ht="27" customHeight="1" x14ac:dyDescent="0.25">
      <c r="A13" s="18" t="s">
        <v>3738</v>
      </c>
      <c r="B13" s="18" t="s">
        <v>3691</v>
      </c>
      <c r="C13" s="19" t="s">
        <v>3733</v>
      </c>
      <c r="D13" s="19" t="s">
        <v>3739</v>
      </c>
      <c r="E13" s="19" t="s">
        <v>3740</v>
      </c>
      <c r="F13" s="19" t="s">
        <v>3741</v>
      </c>
      <c r="G13" s="19" t="s">
        <v>3742</v>
      </c>
      <c r="H13" s="19" t="s">
        <v>3697</v>
      </c>
      <c r="I13" s="18" t="s">
        <v>495</v>
      </c>
      <c r="J13" s="18">
        <f>SUMPRODUCT(--ISNUMBER(SEARCH(A13,RF!$Q$4:$Q$141)))</f>
        <v>11</v>
      </c>
    </row>
    <row r="14" spans="1:10" ht="27" customHeight="1" x14ac:dyDescent="0.25">
      <c r="A14" s="16" t="s">
        <v>3743</v>
      </c>
      <c r="B14" s="16" t="s">
        <v>3691</v>
      </c>
      <c r="C14" s="17" t="s">
        <v>3733</v>
      </c>
      <c r="D14" s="17" t="s">
        <v>3739</v>
      </c>
      <c r="E14" s="17" t="s">
        <v>3744</v>
      </c>
      <c r="F14" s="17" t="s">
        <v>3745</v>
      </c>
      <c r="G14" s="17" t="s">
        <v>3746</v>
      </c>
      <c r="H14" s="17" t="s">
        <v>3697</v>
      </c>
      <c r="I14" s="16" t="s">
        <v>495</v>
      </c>
      <c r="J14" s="16">
        <f>SUMPRODUCT(--ISNUMBER(SEARCH(A14,RF!$Q$4:$Q$141)))</f>
        <v>5</v>
      </c>
    </row>
    <row r="15" spans="1:10" ht="27" customHeight="1" x14ac:dyDescent="0.25">
      <c r="A15" s="18" t="s">
        <v>3747</v>
      </c>
      <c r="B15" s="18" t="s">
        <v>3691</v>
      </c>
      <c r="C15" s="19" t="s">
        <v>3733</v>
      </c>
      <c r="D15" s="19" t="s">
        <v>3748</v>
      </c>
      <c r="E15" s="19" t="s">
        <v>3749</v>
      </c>
      <c r="F15" s="19" t="s">
        <v>3750</v>
      </c>
      <c r="G15" s="19" t="s">
        <v>3751</v>
      </c>
      <c r="H15" s="19" t="s">
        <v>3697</v>
      </c>
      <c r="I15" s="18" t="s">
        <v>495</v>
      </c>
      <c r="J15" s="18">
        <f>SUMPRODUCT(--ISNUMBER(SEARCH(A15,RF!$Q$4:$Q$141)))</f>
        <v>3</v>
      </c>
    </row>
    <row r="16" spans="1:10" ht="27" customHeight="1" x14ac:dyDescent="0.25">
      <c r="A16" s="16" t="s">
        <v>3752</v>
      </c>
      <c r="B16" s="16" t="s">
        <v>3691</v>
      </c>
      <c r="C16" s="17" t="s">
        <v>3733</v>
      </c>
      <c r="D16" s="17" t="s">
        <v>3753</v>
      </c>
      <c r="E16" s="17" t="s">
        <v>3754</v>
      </c>
      <c r="F16" s="17" t="s">
        <v>3755</v>
      </c>
      <c r="G16" s="17" t="s">
        <v>3756</v>
      </c>
      <c r="H16" s="17" t="s">
        <v>3697</v>
      </c>
      <c r="I16" s="16" t="s">
        <v>495</v>
      </c>
      <c r="J16" s="16">
        <f>SUMPRODUCT(--ISNUMBER(SEARCH(A16,RF!$Q$4:$Q$141)))</f>
        <v>24</v>
      </c>
    </row>
    <row r="17" spans="1:10" ht="27" customHeight="1" x14ac:dyDescent="0.25">
      <c r="A17" s="18" t="s">
        <v>3757</v>
      </c>
      <c r="B17" s="18" t="s">
        <v>3691</v>
      </c>
      <c r="C17" s="19" t="s">
        <v>3733</v>
      </c>
      <c r="D17" s="19" t="s">
        <v>3739</v>
      </c>
      <c r="E17" s="19" t="s">
        <v>3758</v>
      </c>
      <c r="F17" s="19" t="s">
        <v>3736</v>
      </c>
      <c r="G17" s="19" t="s">
        <v>3759</v>
      </c>
      <c r="H17" s="19" t="s">
        <v>3697</v>
      </c>
      <c r="I17" s="18" t="s">
        <v>495</v>
      </c>
      <c r="J17" s="18">
        <f>SUMPRODUCT(--ISNUMBER(SEARCH(A17,RF!$Q$4:$Q$141)))</f>
        <v>3</v>
      </c>
    </row>
    <row r="18" spans="1:10" ht="27" customHeight="1" x14ac:dyDescent="0.25">
      <c r="A18" s="16" t="s">
        <v>3760</v>
      </c>
      <c r="B18" s="16" t="s">
        <v>3691</v>
      </c>
      <c r="C18" s="17" t="s">
        <v>3733</v>
      </c>
      <c r="D18" s="17" t="s">
        <v>3761</v>
      </c>
      <c r="E18" s="17" t="s">
        <v>3762</v>
      </c>
      <c r="F18" s="17" t="s">
        <v>3763</v>
      </c>
      <c r="G18" s="17" t="s">
        <v>3764</v>
      </c>
      <c r="H18" s="17" t="s">
        <v>3697</v>
      </c>
      <c r="I18" s="16" t="s">
        <v>495</v>
      </c>
      <c r="J18" s="16">
        <f>SUMPRODUCT(--ISNUMBER(SEARCH(A18,RF!$Q$4:$Q$141)))</f>
        <v>5</v>
      </c>
    </row>
    <row r="19" spans="1:10" ht="40.5" customHeight="1" x14ac:dyDescent="0.25">
      <c r="A19" s="18" t="s">
        <v>3765</v>
      </c>
      <c r="B19" s="18" t="s">
        <v>3691</v>
      </c>
      <c r="C19" s="19" t="s">
        <v>3766</v>
      </c>
      <c r="D19" s="19" t="s">
        <v>3767</v>
      </c>
      <c r="E19" s="19" t="s">
        <v>3768</v>
      </c>
      <c r="F19" s="19" t="s">
        <v>3769</v>
      </c>
      <c r="G19" s="19" t="s">
        <v>3770</v>
      </c>
      <c r="H19" s="19" t="s">
        <v>3697</v>
      </c>
      <c r="I19" s="18" t="s">
        <v>495</v>
      </c>
      <c r="J19" s="18">
        <f>SUMPRODUCT(--ISNUMBER(SEARCH(A19,RF!$Q$4:$Q$141)))</f>
        <v>16</v>
      </c>
    </row>
    <row r="20" spans="1:10" ht="27" customHeight="1" x14ac:dyDescent="0.25">
      <c r="A20" s="16" t="s">
        <v>1096</v>
      </c>
      <c r="B20" s="16" t="s">
        <v>3691</v>
      </c>
      <c r="C20" s="17" t="s">
        <v>3766</v>
      </c>
      <c r="D20" s="17" t="s">
        <v>3767</v>
      </c>
      <c r="E20" s="17" t="s">
        <v>3771</v>
      </c>
      <c r="F20" s="17" t="s">
        <v>3772</v>
      </c>
      <c r="G20" s="17" t="s">
        <v>3773</v>
      </c>
      <c r="H20" s="17" t="s">
        <v>3697</v>
      </c>
      <c r="I20" s="16" t="s">
        <v>495</v>
      </c>
      <c r="J20" s="16">
        <f>SUMPRODUCT(--ISNUMBER(SEARCH(A20,RF!$Q$4:$Q$141)))</f>
        <v>11</v>
      </c>
    </row>
    <row r="21" spans="1:10" ht="27" customHeight="1" x14ac:dyDescent="0.25">
      <c r="A21" s="18" t="s">
        <v>3774</v>
      </c>
      <c r="B21" s="18" t="s">
        <v>3691</v>
      </c>
      <c r="C21" s="19" t="s">
        <v>3775</v>
      </c>
      <c r="D21" s="19" t="s">
        <v>3776</v>
      </c>
      <c r="E21" s="19" t="s">
        <v>3777</v>
      </c>
      <c r="F21" s="19" t="s">
        <v>3778</v>
      </c>
      <c r="G21" s="19" t="s">
        <v>3779</v>
      </c>
      <c r="H21" s="19" t="s">
        <v>3697</v>
      </c>
      <c r="I21" s="18" t="s">
        <v>495</v>
      </c>
      <c r="J21" s="18">
        <f>SUMPRODUCT(--ISNUMBER(SEARCH(A21,RF!$Q$4:$Q$141)))</f>
        <v>2</v>
      </c>
    </row>
    <row r="22" spans="1:10" ht="27" customHeight="1" x14ac:dyDescent="0.25">
      <c r="A22" s="16" t="s">
        <v>3780</v>
      </c>
      <c r="B22" s="16" t="s">
        <v>3691</v>
      </c>
      <c r="C22" s="17" t="s">
        <v>3775</v>
      </c>
      <c r="D22" s="17" t="s">
        <v>3781</v>
      </c>
      <c r="E22" s="17" t="s">
        <v>3782</v>
      </c>
      <c r="F22" s="17" t="s">
        <v>3783</v>
      </c>
      <c r="G22" s="17" t="s">
        <v>3784</v>
      </c>
      <c r="H22" s="17" t="s">
        <v>3697</v>
      </c>
      <c r="I22" s="16" t="s">
        <v>495</v>
      </c>
      <c r="J22" s="16">
        <f>SUMPRODUCT(--ISNUMBER(SEARCH(A22,RF!$Q$4:$Q$141)))</f>
        <v>9</v>
      </c>
    </row>
    <row r="23" spans="1:10" ht="27" customHeight="1" x14ac:dyDescent="0.25">
      <c r="A23" s="18" t="s">
        <v>3785</v>
      </c>
      <c r="B23" s="18" t="s">
        <v>3691</v>
      </c>
      <c r="C23" s="19" t="s">
        <v>3775</v>
      </c>
      <c r="D23" s="19" t="s">
        <v>3786</v>
      </c>
      <c r="E23" s="19" t="s">
        <v>3787</v>
      </c>
      <c r="F23" s="19" t="s">
        <v>3788</v>
      </c>
      <c r="G23" s="19" t="s">
        <v>3789</v>
      </c>
      <c r="H23" s="19" t="s">
        <v>3697</v>
      </c>
      <c r="I23" s="18" t="s">
        <v>495</v>
      </c>
      <c r="J23" s="18">
        <f>SUMPRODUCT(--ISNUMBER(SEARCH(A23,RF!$Q$4:$Q$141)))</f>
        <v>11</v>
      </c>
    </row>
    <row r="24" spans="1:10" ht="27" customHeight="1" x14ac:dyDescent="0.25">
      <c r="A24" s="16" t="s">
        <v>3790</v>
      </c>
      <c r="B24" s="16" t="s">
        <v>3691</v>
      </c>
      <c r="C24" s="17" t="s">
        <v>3775</v>
      </c>
      <c r="D24" s="17" t="s">
        <v>3791</v>
      </c>
      <c r="E24" s="17" t="s">
        <v>3792</v>
      </c>
      <c r="F24" s="17" t="s">
        <v>3793</v>
      </c>
      <c r="G24" s="17" t="s">
        <v>3794</v>
      </c>
      <c r="H24" s="17" t="s">
        <v>3697</v>
      </c>
      <c r="I24" s="16" t="s">
        <v>495</v>
      </c>
      <c r="J24" s="16">
        <f>SUMPRODUCT(--ISNUMBER(SEARCH(A24,RF!$Q$4:$Q$141)))</f>
        <v>9</v>
      </c>
    </row>
    <row r="25" spans="1:10" ht="27" customHeight="1" x14ac:dyDescent="0.25">
      <c r="A25" s="18" t="s">
        <v>3795</v>
      </c>
      <c r="B25" s="18" t="s">
        <v>3691</v>
      </c>
      <c r="C25" s="19" t="s">
        <v>3796</v>
      </c>
      <c r="D25" s="19" t="s">
        <v>3797</v>
      </c>
      <c r="E25" s="19" t="s">
        <v>3798</v>
      </c>
      <c r="F25" s="19" t="s">
        <v>3799</v>
      </c>
      <c r="G25" s="19" t="s">
        <v>3800</v>
      </c>
      <c r="H25" s="19" t="s">
        <v>3697</v>
      </c>
      <c r="I25" s="18" t="s">
        <v>495</v>
      </c>
      <c r="J25" s="18">
        <f>SUMPRODUCT(--ISNUMBER(SEARCH(A25,RF!$Q$4:$Q$141)))</f>
        <v>2</v>
      </c>
    </row>
    <row r="26" spans="1:10" ht="27" customHeight="1" x14ac:dyDescent="0.25">
      <c r="A26" s="16" t="s">
        <v>3801</v>
      </c>
      <c r="B26" s="16" t="s">
        <v>3691</v>
      </c>
      <c r="C26" s="17" t="s">
        <v>3796</v>
      </c>
      <c r="D26" s="17" t="s">
        <v>3802</v>
      </c>
      <c r="E26" s="17" t="s">
        <v>3803</v>
      </c>
      <c r="F26" s="17" t="s">
        <v>3804</v>
      </c>
      <c r="G26" s="17" t="s">
        <v>3805</v>
      </c>
      <c r="H26" s="17" t="s">
        <v>3697</v>
      </c>
      <c r="I26" s="16" t="s">
        <v>495</v>
      </c>
      <c r="J26" s="16">
        <f>SUMPRODUCT(--ISNUMBER(SEARCH(A26,RF!$Q$4:$Q$141)))</f>
        <v>0</v>
      </c>
    </row>
    <row r="27" spans="1:10" ht="27" customHeight="1" x14ac:dyDescent="0.25">
      <c r="A27" s="18" t="s">
        <v>3806</v>
      </c>
      <c r="B27" s="18" t="s">
        <v>3691</v>
      </c>
      <c r="C27" s="19" t="s">
        <v>3807</v>
      </c>
      <c r="D27" s="19" t="s">
        <v>3808</v>
      </c>
      <c r="E27" s="19" t="s">
        <v>3809</v>
      </c>
      <c r="F27" s="19" t="s">
        <v>3810</v>
      </c>
      <c r="G27" s="19" t="s">
        <v>3811</v>
      </c>
      <c r="H27" s="19" t="s">
        <v>3697</v>
      </c>
      <c r="I27" s="18" t="s">
        <v>495</v>
      </c>
      <c r="J27" s="18">
        <f>SUMPRODUCT(--ISNUMBER(SEARCH(A27,RF!$Q$4:$Q$141)))</f>
        <v>3</v>
      </c>
    </row>
    <row r="28" spans="1:10" ht="27" customHeight="1" x14ac:dyDescent="0.25">
      <c r="A28" s="16" t="s">
        <v>3812</v>
      </c>
      <c r="B28" s="16" t="s">
        <v>3691</v>
      </c>
      <c r="C28" s="17" t="s">
        <v>3807</v>
      </c>
      <c r="D28" s="17" t="s">
        <v>3813</v>
      </c>
      <c r="E28" s="17" t="s">
        <v>3814</v>
      </c>
      <c r="F28" s="17" t="s">
        <v>3815</v>
      </c>
      <c r="G28" s="17" t="s">
        <v>3816</v>
      </c>
      <c r="H28" s="17" t="s">
        <v>3697</v>
      </c>
      <c r="I28" s="16" t="s">
        <v>495</v>
      </c>
      <c r="J28" s="16">
        <f>SUMPRODUCT(--ISNUMBER(SEARCH(A28,RF!$Q$4:$Q$141)))</f>
        <v>0</v>
      </c>
    </row>
    <row r="29" spans="1:10" ht="27" customHeight="1" x14ac:dyDescent="0.25">
      <c r="A29" s="18" t="s">
        <v>3817</v>
      </c>
      <c r="B29" s="18" t="s">
        <v>3691</v>
      </c>
      <c r="C29" s="19" t="s">
        <v>3807</v>
      </c>
      <c r="D29" s="19" t="s">
        <v>3818</v>
      </c>
      <c r="E29" s="19" t="s">
        <v>3819</v>
      </c>
      <c r="F29" s="19" t="s">
        <v>3820</v>
      </c>
      <c r="G29" s="19" t="s">
        <v>3821</v>
      </c>
      <c r="H29" s="19" t="s">
        <v>3697</v>
      </c>
      <c r="I29" s="18" t="s">
        <v>495</v>
      </c>
      <c r="J29" s="18">
        <f>SUMPRODUCT(--ISNUMBER(SEARCH(A29,RF!$Q$4:$Q$141)))</f>
        <v>4</v>
      </c>
    </row>
    <row r="30" spans="1:10" ht="27" customHeight="1" x14ac:dyDescent="0.25">
      <c r="A30" s="16" t="s">
        <v>3822</v>
      </c>
      <c r="B30" s="16" t="s">
        <v>3691</v>
      </c>
      <c r="C30" s="17" t="s">
        <v>3823</v>
      </c>
      <c r="D30" s="17" t="s">
        <v>3824</v>
      </c>
      <c r="E30" s="17" t="s">
        <v>3825</v>
      </c>
      <c r="F30" s="17" t="s">
        <v>3826</v>
      </c>
      <c r="G30" s="17" t="s">
        <v>3827</v>
      </c>
      <c r="H30" s="17" t="s">
        <v>3697</v>
      </c>
      <c r="I30" s="16" t="s">
        <v>495</v>
      </c>
      <c r="J30" s="16">
        <f>SUMPRODUCT(--ISNUMBER(SEARCH(A30,RF!$Q$4:$Q$141)))</f>
        <v>14</v>
      </c>
    </row>
    <row r="31" spans="1:10" ht="27" customHeight="1" x14ac:dyDescent="0.25">
      <c r="A31" s="18" t="s">
        <v>3828</v>
      </c>
      <c r="B31" s="18" t="s">
        <v>3691</v>
      </c>
      <c r="C31" s="19" t="s">
        <v>3823</v>
      </c>
      <c r="D31" s="19" t="s">
        <v>3829</v>
      </c>
      <c r="E31" s="19" t="s">
        <v>3830</v>
      </c>
      <c r="F31" s="19" t="s">
        <v>3831</v>
      </c>
      <c r="G31" s="19" t="s">
        <v>3832</v>
      </c>
      <c r="H31" s="19" t="s">
        <v>3697</v>
      </c>
      <c r="I31" s="18" t="s">
        <v>495</v>
      </c>
      <c r="J31" s="18">
        <f>SUMPRODUCT(--ISNUMBER(SEARCH(A31,RF!$Q$4:$Q$141)))</f>
        <v>1</v>
      </c>
    </row>
    <row r="32" spans="1:10" ht="27" customHeight="1" x14ac:dyDescent="0.25">
      <c r="A32" s="16" t="s">
        <v>3833</v>
      </c>
      <c r="B32" s="16" t="s">
        <v>3691</v>
      </c>
      <c r="C32" s="17" t="s">
        <v>3823</v>
      </c>
      <c r="D32" s="17" t="s">
        <v>3834</v>
      </c>
      <c r="E32" s="17" t="s">
        <v>3835</v>
      </c>
      <c r="F32" s="17" t="s">
        <v>3836</v>
      </c>
      <c r="G32" s="17" t="s">
        <v>3837</v>
      </c>
      <c r="H32" s="17" t="s">
        <v>3697</v>
      </c>
      <c r="I32" s="16" t="s">
        <v>495</v>
      </c>
      <c r="J32" s="16">
        <f>SUMPRODUCT(--ISNUMBER(SEARCH(A32,RF!$Q$4:$Q$141)))</f>
        <v>1</v>
      </c>
    </row>
    <row r="33" spans="1:10" ht="27" customHeight="1" x14ac:dyDescent="0.25">
      <c r="A33" s="18" t="s">
        <v>3838</v>
      </c>
      <c r="B33" s="18" t="s">
        <v>3691</v>
      </c>
      <c r="C33" s="19" t="s">
        <v>3839</v>
      </c>
      <c r="D33" s="19" t="s">
        <v>3840</v>
      </c>
      <c r="E33" s="19" t="s">
        <v>3841</v>
      </c>
      <c r="F33" s="19" t="s">
        <v>3842</v>
      </c>
      <c r="G33" s="19" t="s">
        <v>3843</v>
      </c>
      <c r="H33" s="19" t="s">
        <v>3697</v>
      </c>
      <c r="I33" s="18" t="s">
        <v>495</v>
      </c>
      <c r="J33" s="18">
        <f>SUMPRODUCT(--ISNUMBER(SEARCH(A33,RF!$Q$4:$Q$141)))</f>
        <v>4</v>
      </c>
    </row>
    <row r="34" spans="1:10" ht="40.5" customHeight="1" x14ac:dyDescent="0.25">
      <c r="A34" s="16" t="s">
        <v>3844</v>
      </c>
      <c r="B34" s="16" t="s">
        <v>3845</v>
      </c>
      <c r="C34" s="17" t="s">
        <v>3692</v>
      </c>
      <c r="D34" s="17" t="s">
        <v>3693</v>
      </c>
      <c r="E34" s="17" t="s">
        <v>3846</v>
      </c>
      <c r="F34" s="17" t="s">
        <v>3847</v>
      </c>
      <c r="G34" s="17" t="s">
        <v>3848</v>
      </c>
      <c r="H34" s="17" t="s">
        <v>107</v>
      </c>
      <c r="I34" s="16" t="s">
        <v>495</v>
      </c>
      <c r="J34" s="16">
        <f>SUMPRODUCT(--ISNUMBER(SEARCH(A34,RF!$Q$4:$Q$141)))</f>
        <v>7</v>
      </c>
    </row>
    <row r="35" spans="1:10" ht="27" customHeight="1" x14ac:dyDescent="0.25">
      <c r="A35" s="18" t="s">
        <v>3849</v>
      </c>
      <c r="B35" s="18" t="s">
        <v>3845</v>
      </c>
      <c r="C35" s="19" t="s">
        <v>3692</v>
      </c>
      <c r="D35" s="19" t="s">
        <v>3693</v>
      </c>
      <c r="E35" s="19" t="s">
        <v>3850</v>
      </c>
      <c r="F35" s="19" t="s">
        <v>3851</v>
      </c>
      <c r="G35" s="19" t="s">
        <v>3852</v>
      </c>
      <c r="H35" s="19" t="s">
        <v>111</v>
      </c>
      <c r="I35" s="18" t="s">
        <v>495</v>
      </c>
      <c r="J35" s="18">
        <f>SUMPRODUCT(--ISNUMBER(SEARCH(A35,RF!$Q$4:$Q$141)))</f>
        <v>6</v>
      </c>
    </row>
    <row r="36" spans="1:10" ht="27" customHeight="1" x14ac:dyDescent="0.25">
      <c r="A36" s="16" t="s">
        <v>3853</v>
      </c>
      <c r="B36" s="16" t="s">
        <v>3845</v>
      </c>
      <c r="C36" s="17" t="s">
        <v>3692</v>
      </c>
      <c r="D36" s="17" t="s">
        <v>3703</v>
      </c>
      <c r="E36" s="17" t="s">
        <v>3854</v>
      </c>
      <c r="F36" s="17" t="s">
        <v>3855</v>
      </c>
      <c r="G36" s="17" t="s">
        <v>3856</v>
      </c>
      <c r="H36" s="17" t="s">
        <v>117</v>
      </c>
      <c r="I36" s="16" t="s">
        <v>495</v>
      </c>
      <c r="J36" s="16">
        <f>SUMPRODUCT(--ISNUMBER(SEARCH(A36,RF!$Q$4:$Q$141)))</f>
        <v>4</v>
      </c>
    </row>
    <row r="37" spans="1:10" ht="27" customHeight="1" x14ac:dyDescent="0.25">
      <c r="A37" s="18" t="s">
        <v>3857</v>
      </c>
      <c r="B37" s="18" t="s">
        <v>3845</v>
      </c>
      <c r="C37" s="19" t="s">
        <v>3712</v>
      </c>
      <c r="D37" s="19" t="s">
        <v>3728</v>
      </c>
      <c r="E37" s="19" t="s">
        <v>3858</v>
      </c>
      <c r="F37" s="19" t="s">
        <v>3859</v>
      </c>
      <c r="G37" s="19" t="s">
        <v>3860</v>
      </c>
      <c r="H37" s="19" t="s">
        <v>127</v>
      </c>
      <c r="I37" s="18" t="s">
        <v>495</v>
      </c>
      <c r="J37" s="18">
        <f>SUMPRODUCT(--ISNUMBER(SEARCH(A37,RF!$Q$4:$Q$141)))</f>
        <v>5</v>
      </c>
    </row>
    <row r="38" spans="1:10" ht="40.5" customHeight="1" x14ac:dyDescent="0.25">
      <c r="A38" s="16" t="s">
        <v>3861</v>
      </c>
      <c r="B38" s="16" t="s">
        <v>3845</v>
      </c>
      <c r="C38" s="17" t="s">
        <v>3712</v>
      </c>
      <c r="D38" s="17" t="s">
        <v>3723</v>
      </c>
      <c r="E38" s="17" t="s">
        <v>3862</v>
      </c>
      <c r="F38" s="17" t="s">
        <v>3863</v>
      </c>
      <c r="G38" s="17" t="s">
        <v>3864</v>
      </c>
      <c r="H38" s="17" t="s">
        <v>127</v>
      </c>
      <c r="I38" s="16" t="s">
        <v>495</v>
      </c>
      <c r="J38" s="16">
        <f>SUMPRODUCT(--ISNUMBER(SEARCH(A38,RF!$Q$4:$Q$141)))</f>
        <v>2</v>
      </c>
    </row>
    <row r="39" spans="1:10" ht="40.5" customHeight="1" x14ac:dyDescent="0.25">
      <c r="A39" s="18" t="s">
        <v>3865</v>
      </c>
      <c r="B39" s="18" t="s">
        <v>3845</v>
      </c>
      <c r="C39" s="19" t="s">
        <v>3712</v>
      </c>
      <c r="D39" s="19" t="s">
        <v>3723</v>
      </c>
      <c r="E39" s="19" t="s">
        <v>3866</v>
      </c>
      <c r="F39" s="19" t="s">
        <v>3867</v>
      </c>
      <c r="G39" s="19" t="s">
        <v>3868</v>
      </c>
      <c r="H39" s="19" t="s">
        <v>142</v>
      </c>
      <c r="I39" s="18" t="s">
        <v>495</v>
      </c>
      <c r="J39" s="18">
        <f>SUMPRODUCT(--ISNUMBER(SEARCH(A39,RF!$Q$4:$Q$141)))</f>
        <v>5</v>
      </c>
    </row>
    <row r="40" spans="1:10" ht="27" customHeight="1" x14ac:dyDescent="0.25">
      <c r="A40" s="16" t="s">
        <v>3869</v>
      </c>
      <c r="B40" s="16" t="s">
        <v>3845</v>
      </c>
      <c r="C40" s="17" t="s">
        <v>3712</v>
      </c>
      <c r="D40" s="17" t="s">
        <v>3718</v>
      </c>
      <c r="E40" s="17" t="s">
        <v>3870</v>
      </c>
      <c r="F40" s="17" t="s">
        <v>3871</v>
      </c>
      <c r="G40" s="17" t="s">
        <v>3872</v>
      </c>
      <c r="H40" s="17" t="s">
        <v>164</v>
      </c>
      <c r="I40" s="16" t="s">
        <v>619</v>
      </c>
      <c r="J40" s="16">
        <f>SUMPRODUCT(--ISNUMBER(SEARCH(A40,RF!$Q$4:$Q$141)))</f>
        <v>1</v>
      </c>
    </row>
    <row r="41" spans="1:10" ht="27" customHeight="1" x14ac:dyDescent="0.25">
      <c r="A41" s="18" t="s">
        <v>3873</v>
      </c>
      <c r="B41" s="18" t="s">
        <v>3845</v>
      </c>
      <c r="C41" s="19" t="s">
        <v>3712</v>
      </c>
      <c r="D41" s="19" t="s">
        <v>3713</v>
      </c>
      <c r="E41" s="19" t="s">
        <v>3874</v>
      </c>
      <c r="F41" s="19" t="s">
        <v>3875</v>
      </c>
      <c r="G41" s="19" t="s">
        <v>3876</v>
      </c>
      <c r="H41" s="19" t="s">
        <v>167</v>
      </c>
      <c r="I41" s="18" t="s">
        <v>495</v>
      </c>
      <c r="J41" s="18">
        <f>SUMPRODUCT(--ISNUMBER(SEARCH(A41,RF!$Q$4:$Q$141)))</f>
        <v>6</v>
      </c>
    </row>
    <row r="42" spans="1:10" ht="40.5" customHeight="1" x14ac:dyDescent="0.25">
      <c r="A42" s="16" t="s">
        <v>3877</v>
      </c>
      <c r="B42" s="16" t="s">
        <v>3845</v>
      </c>
      <c r="C42" s="17" t="s">
        <v>3733</v>
      </c>
      <c r="D42" s="17" t="s">
        <v>3734</v>
      </c>
      <c r="E42" s="17" t="s">
        <v>3878</v>
      </c>
      <c r="F42" s="17" t="s">
        <v>3879</v>
      </c>
      <c r="G42" s="17" t="s">
        <v>3880</v>
      </c>
      <c r="H42" s="17" t="s">
        <v>130</v>
      </c>
      <c r="I42" s="16" t="s">
        <v>495</v>
      </c>
      <c r="J42" s="16">
        <f>SUMPRODUCT(--ISNUMBER(SEARCH(A42,RF!$Q$4:$Q$141)))</f>
        <v>3</v>
      </c>
    </row>
    <row r="43" spans="1:10" ht="40.5" customHeight="1" x14ac:dyDescent="0.25">
      <c r="A43" s="18" t="s">
        <v>3881</v>
      </c>
      <c r="B43" s="18" t="s">
        <v>3845</v>
      </c>
      <c r="C43" s="19" t="s">
        <v>3733</v>
      </c>
      <c r="D43" s="19" t="s">
        <v>3753</v>
      </c>
      <c r="E43" s="19" t="s">
        <v>3882</v>
      </c>
      <c r="F43" s="19" t="s">
        <v>3883</v>
      </c>
      <c r="G43" s="19" t="s">
        <v>3884</v>
      </c>
      <c r="H43" s="19" t="s">
        <v>107</v>
      </c>
      <c r="I43" s="18" t="s">
        <v>495</v>
      </c>
      <c r="J43" s="18">
        <f>SUMPRODUCT(--ISNUMBER(SEARCH(A43,RF!$Q$4:$Q$141)))</f>
        <v>1</v>
      </c>
    </row>
    <row r="44" spans="1:10" ht="40.5" customHeight="1" x14ac:dyDescent="0.25">
      <c r="A44" s="16" t="s">
        <v>3885</v>
      </c>
      <c r="B44" s="16" t="s">
        <v>3845</v>
      </c>
      <c r="C44" s="17" t="s">
        <v>3733</v>
      </c>
      <c r="D44" s="17" t="s">
        <v>3739</v>
      </c>
      <c r="E44" s="17" t="s">
        <v>3886</v>
      </c>
      <c r="F44" s="17" t="s">
        <v>3887</v>
      </c>
      <c r="G44" s="17" t="s">
        <v>3888</v>
      </c>
      <c r="H44" s="17" t="s">
        <v>3697</v>
      </c>
      <c r="I44" s="16" t="s">
        <v>495</v>
      </c>
      <c r="J44" s="16">
        <f>SUMPRODUCT(--ISNUMBER(SEARCH(A44,RF!$Q$4:$Q$141)))</f>
        <v>3</v>
      </c>
    </row>
    <row r="45" spans="1:10" ht="40.5" customHeight="1" x14ac:dyDescent="0.25">
      <c r="A45" s="18" t="s">
        <v>3889</v>
      </c>
      <c r="B45" s="18" t="s">
        <v>3845</v>
      </c>
      <c r="C45" s="19" t="s">
        <v>3733</v>
      </c>
      <c r="D45" s="19" t="s">
        <v>3748</v>
      </c>
      <c r="E45" s="19" t="s">
        <v>3890</v>
      </c>
      <c r="F45" s="19" t="s">
        <v>3891</v>
      </c>
      <c r="G45" s="19" t="s">
        <v>3892</v>
      </c>
      <c r="H45" s="19" t="s">
        <v>139</v>
      </c>
      <c r="I45" s="18" t="s">
        <v>495</v>
      </c>
      <c r="J45" s="18">
        <f>SUMPRODUCT(--ISNUMBER(SEARCH(A45,RF!$Q$4:$Q$141)))</f>
        <v>2</v>
      </c>
    </row>
    <row r="46" spans="1:10" ht="40.5" customHeight="1" x14ac:dyDescent="0.25">
      <c r="A46" s="16" t="s">
        <v>3893</v>
      </c>
      <c r="B46" s="16" t="s">
        <v>3845</v>
      </c>
      <c r="C46" s="17" t="s">
        <v>3733</v>
      </c>
      <c r="D46" s="17" t="s">
        <v>3739</v>
      </c>
      <c r="E46" s="17" t="s">
        <v>3894</v>
      </c>
      <c r="F46" s="17" t="s">
        <v>3895</v>
      </c>
      <c r="G46" s="17" t="s">
        <v>3896</v>
      </c>
      <c r="H46" s="17" t="s">
        <v>3697</v>
      </c>
      <c r="I46" s="16" t="s">
        <v>495</v>
      </c>
      <c r="J46" s="16">
        <f>SUMPRODUCT(--ISNUMBER(SEARCH(A46,RF!$Q$4:$Q$141)))</f>
        <v>3</v>
      </c>
    </row>
    <row r="47" spans="1:10" ht="40.5" customHeight="1" x14ac:dyDescent="0.25">
      <c r="A47" s="18" t="s">
        <v>3897</v>
      </c>
      <c r="B47" s="18" t="s">
        <v>3845</v>
      </c>
      <c r="C47" s="19" t="s">
        <v>3733</v>
      </c>
      <c r="D47" s="19" t="s">
        <v>3748</v>
      </c>
      <c r="E47" s="19" t="s">
        <v>3898</v>
      </c>
      <c r="F47" s="19" t="s">
        <v>3899</v>
      </c>
      <c r="G47" s="19" t="s">
        <v>3900</v>
      </c>
      <c r="H47" s="19" t="s">
        <v>136</v>
      </c>
      <c r="I47" s="18" t="s">
        <v>495</v>
      </c>
      <c r="J47" s="18">
        <f>SUMPRODUCT(--ISNUMBER(SEARCH(A47,RF!$Q$4:$Q$141)))</f>
        <v>3</v>
      </c>
    </row>
    <row r="48" spans="1:10" ht="40.5" customHeight="1" x14ac:dyDescent="0.25">
      <c r="A48" s="16" t="s">
        <v>3901</v>
      </c>
      <c r="B48" s="16" t="s">
        <v>3845</v>
      </c>
      <c r="C48" s="17" t="s">
        <v>3733</v>
      </c>
      <c r="D48" s="17" t="s">
        <v>3739</v>
      </c>
      <c r="E48" s="17" t="s">
        <v>3902</v>
      </c>
      <c r="F48" s="17" t="s">
        <v>3903</v>
      </c>
      <c r="G48" s="17" t="s">
        <v>3904</v>
      </c>
      <c r="H48" s="17" t="s">
        <v>148</v>
      </c>
      <c r="I48" s="16" t="s">
        <v>495</v>
      </c>
      <c r="J48" s="16">
        <f>SUMPRODUCT(--ISNUMBER(SEARCH(A48,RF!$Q$4:$Q$141)))</f>
        <v>6</v>
      </c>
    </row>
    <row r="49" spans="1:10" ht="27" customHeight="1" x14ac:dyDescent="0.25">
      <c r="A49" s="18" t="s">
        <v>3905</v>
      </c>
      <c r="B49" s="18" t="s">
        <v>3845</v>
      </c>
      <c r="C49" s="19" t="s">
        <v>3766</v>
      </c>
      <c r="D49" s="19" t="s">
        <v>3767</v>
      </c>
      <c r="E49" s="19" t="s">
        <v>3906</v>
      </c>
      <c r="F49" s="19" t="s">
        <v>3907</v>
      </c>
      <c r="G49" s="19" t="s">
        <v>3908</v>
      </c>
      <c r="H49" s="19" t="s">
        <v>139</v>
      </c>
      <c r="I49" s="18" t="s">
        <v>495</v>
      </c>
      <c r="J49" s="18">
        <f>SUMPRODUCT(--ISNUMBER(SEARCH(A49,RF!$Q$4:$Q$141)))</f>
        <v>2</v>
      </c>
    </row>
    <row r="50" spans="1:10" ht="27" customHeight="1" x14ac:dyDescent="0.25">
      <c r="A50" s="16" t="s">
        <v>3909</v>
      </c>
      <c r="B50" s="16" t="s">
        <v>3845</v>
      </c>
      <c r="C50" s="17" t="s">
        <v>3796</v>
      </c>
      <c r="D50" s="17" t="s">
        <v>3797</v>
      </c>
      <c r="E50" s="17" t="s">
        <v>3910</v>
      </c>
      <c r="F50" s="17" t="s">
        <v>3911</v>
      </c>
      <c r="G50" s="17" t="s">
        <v>3912</v>
      </c>
      <c r="H50" s="17" t="s">
        <v>142</v>
      </c>
      <c r="I50" s="16" t="s">
        <v>495</v>
      </c>
      <c r="J50" s="16">
        <f>SUMPRODUCT(--ISNUMBER(SEARCH(A50,RF!$Q$4:$Q$141)))</f>
        <v>3</v>
      </c>
    </row>
    <row r="51" spans="1:10" ht="27" customHeight="1" x14ac:dyDescent="0.25">
      <c r="A51" s="18" t="s">
        <v>3913</v>
      </c>
      <c r="B51" s="18" t="s">
        <v>3845</v>
      </c>
      <c r="C51" s="19" t="s">
        <v>3796</v>
      </c>
      <c r="D51" s="19" t="s">
        <v>3797</v>
      </c>
      <c r="E51" s="19" t="s">
        <v>3914</v>
      </c>
      <c r="F51" s="19" t="s">
        <v>3915</v>
      </c>
      <c r="G51" s="19" t="s">
        <v>3916</v>
      </c>
      <c r="H51" s="19" t="s">
        <v>164</v>
      </c>
      <c r="I51" s="18" t="s">
        <v>619</v>
      </c>
      <c r="J51" s="18">
        <f>SUMPRODUCT(--ISNUMBER(SEARCH(A51,RF!$Q$4:$Q$141)))</f>
        <v>1</v>
      </c>
    </row>
    <row r="52" spans="1:10" ht="40.5" customHeight="1" x14ac:dyDescent="0.25">
      <c r="A52" s="16" t="s">
        <v>3917</v>
      </c>
      <c r="B52" s="16" t="s">
        <v>3845</v>
      </c>
      <c r="C52" s="17" t="s">
        <v>3807</v>
      </c>
      <c r="D52" s="17" t="s">
        <v>3808</v>
      </c>
      <c r="E52" s="17" t="s">
        <v>3918</v>
      </c>
      <c r="F52" s="17" t="s">
        <v>3919</v>
      </c>
      <c r="G52" s="17" t="s">
        <v>3920</v>
      </c>
      <c r="H52" s="17" t="s">
        <v>3697</v>
      </c>
      <c r="I52" s="16" t="s">
        <v>495</v>
      </c>
      <c r="J52" s="16">
        <f>SUMPRODUCT(--ISNUMBER(SEARCH(A52,RF!$Q$4:$Q$141)))</f>
        <v>1</v>
      </c>
    </row>
    <row r="53" spans="1:10" ht="40.5" customHeight="1" x14ac:dyDescent="0.25">
      <c r="A53" s="18" t="s">
        <v>3921</v>
      </c>
      <c r="B53" s="18" t="s">
        <v>3845</v>
      </c>
      <c r="C53" s="19" t="s">
        <v>3807</v>
      </c>
      <c r="D53" s="19" t="s">
        <v>3922</v>
      </c>
      <c r="E53" s="19" t="s">
        <v>3923</v>
      </c>
      <c r="F53" s="19" t="s">
        <v>3924</v>
      </c>
      <c r="G53" s="19" t="s">
        <v>3925</v>
      </c>
      <c r="H53" s="19" t="s">
        <v>107</v>
      </c>
      <c r="I53" s="18" t="s">
        <v>495</v>
      </c>
      <c r="J53" s="18">
        <f>SUMPRODUCT(--ISNUMBER(SEARCH(A53,RF!$Q$4:$Q$141)))</f>
        <v>4</v>
      </c>
    </row>
    <row r="54" spans="1:10" ht="40.5" customHeight="1" x14ac:dyDescent="0.25">
      <c r="A54" s="16" t="s">
        <v>3926</v>
      </c>
      <c r="B54" s="16" t="s">
        <v>3845</v>
      </c>
      <c r="C54" s="17" t="s">
        <v>3823</v>
      </c>
      <c r="D54" s="17" t="s">
        <v>3824</v>
      </c>
      <c r="E54" s="17" t="s">
        <v>3927</v>
      </c>
      <c r="F54" s="17" t="s">
        <v>3928</v>
      </c>
      <c r="G54" s="17" t="s">
        <v>3929</v>
      </c>
      <c r="H54" s="17" t="s">
        <v>3697</v>
      </c>
      <c r="I54" s="16" t="s">
        <v>619</v>
      </c>
      <c r="J54" s="16">
        <f>SUMPRODUCT(--ISNUMBER(SEARCH(A54,RF!$Q$4:$Q$141)))</f>
        <v>3</v>
      </c>
    </row>
    <row r="55" spans="1:10" ht="27" customHeight="1" x14ac:dyDescent="0.25">
      <c r="A55" s="18" t="s">
        <v>3930</v>
      </c>
      <c r="B55" s="18" t="s">
        <v>3845</v>
      </c>
      <c r="C55" s="19" t="s">
        <v>3775</v>
      </c>
      <c r="D55" s="19" t="s">
        <v>3781</v>
      </c>
      <c r="E55" s="19" t="s">
        <v>3931</v>
      </c>
      <c r="F55" s="19" t="s">
        <v>3932</v>
      </c>
      <c r="G55" s="19" t="s">
        <v>3933</v>
      </c>
      <c r="H55" s="19" t="s">
        <v>79</v>
      </c>
      <c r="I55" s="18" t="s">
        <v>619</v>
      </c>
      <c r="J55" s="18">
        <f>SUMPRODUCT(--ISNUMBER(SEARCH(A55,RF!$Q$4:$Q$141)))</f>
        <v>1</v>
      </c>
    </row>
    <row r="56" spans="1:10" ht="27" customHeight="1" x14ac:dyDescent="0.25">
      <c r="A56" s="16" t="s">
        <v>3934</v>
      </c>
      <c r="B56" s="16" t="s">
        <v>3845</v>
      </c>
      <c r="C56" s="17" t="s">
        <v>3692</v>
      </c>
      <c r="D56" s="17" t="s">
        <v>3693</v>
      </c>
      <c r="E56" s="17" t="s">
        <v>3935</v>
      </c>
      <c r="F56" s="17" t="s">
        <v>3936</v>
      </c>
      <c r="G56" s="17" t="s">
        <v>3937</v>
      </c>
      <c r="H56" s="17" t="s">
        <v>157</v>
      </c>
      <c r="I56" s="16" t="s">
        <v>495</v>
      </c>
      <c r="J56" s="16">
        <f>SUMPRODUCT(--ISNUMBER(SEARCH(A56,RF!$Q$4:$Q$141)))</f>
        <v>3</v>
      </c>
    </row>
    <row r="57" spans="1:10" ht="27" customHeight="1" x14ac:dyDescent="0.25">
      <c r="A57" s="18" t="s">
        <v>3938</v>
      </c>
      <c r="B57" s="18" t="s">
        <v>3845</v>
      </c>
      <c r="C57" s="19" t="s">
        <v>3712</v>
      </c>
      <c r="D57" s="19" t="s">
        <v>3713</v>
      </c>
      <c r="E57" s="19" t="s">
        <v>3939</v>
      </c>
      <c r="F57" s="19" t="s">
        <v>3940</v>
      </c>
      <c r="G57" s="19" t="s">
        <v>3941</v>
      </c>
      <c r="H57" s="19" t="s">
        <v>133</v>
      </c>
      <c r="I57" s="18" t="s">
        <v>495</v>
      </c>
      <c r="J57" s="18">
        <f>SUMPRODUCT(--ISNUMBER(SEARCH(A57,RF!$Q$4:$Q$141)))</f>
        <v>6</v>
      </c>
    </row>
    <row r="58" spans="1:10" ht="40.5" customHeight="1" x14ac:dyDescent="0.25">
      <c r="A58" s="16" t="s">
        <v>3942</v>
      </c>
      <c r="B58" s="16" t="s">
        <v>3845</v>
      </c>
      <c r="C58" s="17" t="s">
        <v>3692</v>
      </c>
      <c r="D58" s="17" t="s">
        <v>3703</v>
      </c>
      <c r="E58" s="17" t="s">
        <v>3943</v>
      </c>
      <c r="F58" s="17" t="s">
        <v>3944</v>
      </c>
      <c r="G58" s="17" t="s">
        <v>3701</v>
      </c>
      <c r="H58" s="17" t="s">
        <v>145</v>
      </c>
      <c r="I58" s="16" t="s">
        <v>619</v>
      </c>
      <c r="J58" s="16">
        <f>SUMPRODUCT(--ISNUMBER(SEARCH(A58,RF!$Q$4:$Q$141)))</f>
        <v>4</v>
      </c>
    </row>
    <row r="59" spans="1:10" ht="40.5" customHeight="1" x14ac:dyDescent="0.25">
      <c r="A59" s="18" t="s">
        <v>3945</v>
      </c>
      <c r="B59" s="18" t="s">
        <v>3845</v>
      </c>
      <c r="C59" s="19" t="s">
        <v>3733</v>
      </c>
      <c r="D59" s="19" t="s">
        <v>3739</v>
      </c>
      <c r="E59" s="19" t="s">
        <v>3946</v>
      </c>
      <c r="F59" s="19" t="s">
        <v>3947</v>
      </c>
      <c r="G59" s="19" t="s">
        <v>3948</v>
      </c>
      <c r="H59" s="19" t="s">
        <v>151</v>
      </c>
      <c r="I59" s="18" t="s">
        <v>495</v>
      </c>
      <c r="J59" s="18">
        <f>SUMPRODUCT(--ISNUMBER(SEARCH(A59,RF!$Q$4:$Q$141)))</f>
        <v>2</v>
      </c>
    </row>
    <row r="60" spans="1:10" ht="40.5" customHeight="1" x14ac:dyDescent="0.25">
      <c r="A60" s="16" t="s">
        <v>3949</v>
      </c>
      <c r="B60" s="16" t="s">
        <v>3845</v>
      </c>
      <c r="C60" s="17" t="s">
        <v>3712</v>
      </c>
      <c r="D60" s="17" t="s">
        <v>3728</v>
      </c>
      <c r="E60" s="17" t="s">
        <v>3950</v>
      </c>
      <c r="F60" s="17" t="s">
        <v>3951</v>
      </c>
      <c r="G60" s="17" t="s">
        <v>3952</v>
      </c>
      <c r="H60" s="17" t="s">
        <v>151</v>
      </c>
      <c r="I60" s="16" t="s">
        <v>495</v>
      </c>
      <c r="J60" s="16">
        <f>SUMPRODUCT(--ISNUMBER(SEARCH(A60,RF!$Q$4:$Q$141)))</f>
        <v>5</v>
      </c>
    </row>
    <row r="61" spans="1:10" ht="40.5" customHeight="1" x14ac:dyDescent="0.25">
      <c r="A61" s="18" t="s">
        <v>3953</v>
      </c>
      <c r="B61" s="18" t="s">
        <v>3845</v>
      </c>
      <c r="C61" s="19" t="s">
        <v>3839</v>
      </c>
      <c r="D61" s="19" t="s">
        <v>3954</v>
      </c>
      <c r="E61" s="19" t="s">
        <v>3955</v>
      </c>
      <c r="F61" s="19" t="s">
        <v>3956</v>
      </c>
      <c r="G61" s="19" t="s">
        <v>3957</v>
      </c>
      <c r="H61" s="19" t="s">
        <v>3697</v>
      </c>
      <c r="I61" s="18" t="s">
        <v>495</v>
      </c>
      <c r="J61" s="18">
        <f>SUMPRODUCT(--ISNUMBER(SEARCH(A61,RF!$Q$4:$Q$141)))</f>
        <v>3</v>
      </c>
    </row>
  </sheetData>
  <autoFilter ref="A3:J61" xr:uid="{00000000-0009-0000-0000-000008000000}"/>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5597"/>
    <pageSetUpPr fitToPage="1"/>
  </sheetPr>
  <dimension ref="A1:P156"/>
  <sheetViews>
    <sheetView showGridLines="0" zoomScaleNormal="100" workbookViewId="0">
      <pane xSplit="1" ySplit="3" topLeftCell="B58" activePane="bottomRight" state="frozen"/>
      <selection pane="topRight" activeCell="B1" sqref="B1"/>
      <selection pane="bottomLeft" activeCell="A4" sqref="A4"/>
      <selection pane="bottomRight" activeCell="B25" sqref="B25"/>
    </sheetView>
  </sheetViews>
  <sheetFormatPr baseColWidth="10" defaultColWidth="8.7109375" defaultRowHeight="15" x14ac:dyDescent="0.25"/>
  <cols>
    <col min="1" max="1" width="13" customWidth="1"/>
    <col min="2" max="2" width="45.5703125" bestFit="1" customWidth="1"/>
    <col min="3" max="3" width="10" customWidth="1"/>
    <col min="4" max="16" width="9" customWidth="1"/>
  </cols>
  <sheetData>
    <row r="1" spans="1:16" ht="18" x14ac:dyDescent="0.25">
      <c r="A1" s="9" t="s">
        <v>3958</v>
      </c>
    </row>
    <row r="2" spans="1:16" x14ac:dyDescent="0.25">
      <c r="A2" s="10" t="s">
        <v>3959</v>
      </c>
    </row>
    <row r="3" spans="1:16" x14ac:dyDescent="0.25">
      <c r="A3" s="11" t="s">
        <v>34</v>
      </c>
      <c r="B3" s="11" t="s">
        <v>476</v>
      </c>
      <c r="C3" s="11" t="s">
        <v>482</v>
      </c>
      <c r="D3" s="11" t="s">
        <v>233</v>
      </c>
      <c r="E3" s="11" t="s">
        <v>240</v>
      </c>
      <c r="F3" s="11" t="s">
        <v>247</v>
      </c>
      <c r="G3" s="11" t="s">
        <v>254</v>
      </c>
      <c r="H3" s="11" t="s">
        <v>261</v>
      </c>
      <c r="I3" s="11" t="s">
        <v>268</v>
      </c>
      <c r="J3" s="11" t="s">
        <v>275</v>
      </c>
      <c r="K3" s="11" t="s">
        <v>282</v>
      </c>
      <c r="L3" s="11" t="s">
        <v>289</v>
      </c>
      <c r="M3" s="11" t="s">
        <v>296</v>
      </c>
      <c r="N3" s="11" t="s">
        <v>303</v>
      </c>
      <c r="O3" s="11" t="s">
        <v>310</v>
      </c>
      <c r="P3" s="11" t="s">
        <v>317</v>
      </c>
    </row>
    <row r="4" spans="1:16" x14ac:dyDescent="0.25">
      <c r="A4" s="17" t="s">
        <v>485</v>
      </c>
      <c r="B4" s="17" t="s">
        <v>487</v>
      </c>
      <c r="C4" s="16" t="s">
        <v>495</v>
      </c>
      <c r="D4" s="16" t="s">
        <v>3960</v>
      </c>
      <c r="E4" s="16"/>
      <c r="F4" s="16"/>
      <c r="G4" s="16"/>
      <c r="H4" s="16"/>
      <c r="I4" s="16"/>
      <c r="J4" s="16"/>
      <c r="K4" s="16"/>
      <c r="L4" s="16"/>
      <c r="M4" s="16"/>
      <c r="N4" s="16"/>
      <c r="O4" s="16"/>
      <c r="P4" s="16"/>
    </row>
    <row r="5" spans="1:16" x14ac:dyDescent="0.25">
      <c r="A5" s="17" t="s">
        <v>500</v>
      </c>
      <c r="B5" s="17" t="s">
        <v>501</v>
      </c>
      <c r="C5" s="16" t="s">
        <v>495</v>
      </c>
      <c r="D5" s="16" t="s">
        <v>3960</v>
      </c>
      <c r="E5" s="16"/>
      <c r="F5" s="16"/>
      <c r="G5" s="16"/>
      <c r="H5" s="16"/>
      <c r="I5" s="16"/>
      <c r="J5" s="16"/>
      <c r="K5" s="16"/>
      <c r="L5" s="16"/>
      <c r="M5" s="16" t="s">
        <v>3960</v>
      </c>
      <c r="N5" s="16"/>
      <c r="O5" s="16"/>
      <c r="P5" s="16"/>
    </row>
    <row r="6" spans="1:16" x14ac:dyDescent="0.25">
      <c r="A6" s="17" t="s">
        <v>512</v>
      </c>
      <c r="B6" s="17" t="s">
        <v>513</v>
      </c>
      <c r="C6" s="16" t="s">
        <v>495</v>
      </c>
      <c r="D6" s="16" t="s">
        <v>3960</v>
      </c>
      <c r="E6" s="16"/>
      <c r="F6" s="16"/>
      <c r="G6" s="16"/>
      <c r="H6" s="16"/>
      <c r="I6" s="16"/>
      <c r="J6" s="16"/>
      <c r="K6" s="16"/>
      <c r="L6" s="16"/>
      <c r="M6" s="16"/>
      <c r="N6" s="16"/>
      <c r="O6" s="16"/>
      <c r="P6" s="16"/>
    </row>
    <row r="7" spans="1:16" x14ac:dyDescent="0.25">
      <c r="A7" s="17" t="s">
        <v>523</v>
      </c>
      <c r="B7" s="17" t="s">
        <v>524</v>
      </c>
      <c r="C7" s="16" t="s">
        <v>495</v>
      </c>
      <c r="D7" s="16" t="s">
        <v>3960</v>
      </c>
      <c r="E7" s="16"/>
      <c r="F7" s="16"/>
      <c r="G7" s="16"/>
      <c r="H7" s="16"/>
      <c r="I7" s="16"/>
      <c r="J7" s="16"/>
      <c r="K7" s="16"/>
      <c r="L7" s="16"/>
      <c r="M7" s="16"/>
      <c r="N7" s="16"/>
      <c r="O7" s="16"/>
      <c r="P7" s="16"/>
    </row>
    <row r="8" spans="1:16" x14ac:dyDescent="0.25">
      <c r="A8" s="17" t="s">
        <v>533</v>
      </c>
      <c r="B8" s="17" t="s">
        <v>534</v>
      </c>
      <c r="C8" s="16" t="s">
        <v>495</v>
      </c>
      <c r="D8" s="16" t="s">
        <v>3960</v>
      </c>
      <c r="E8" s="16"/>
      <c r="F8" s="16"/>
      <c r="G8" s="16"/>
      <c r="H8" s="16" t="s">
        <v>3960</v>
      </c>
      <c r="I8" s="16"/>
      <c r="J8" s="16"/>
      <c r="K8" s="16"/>
      <c r="L8" s="16"/>
      <c r="M8" s="16"/>
      <c r="N8" s="16"/>
      <c r="O8" s="16"/>
      <c r="P8" s="16"/>
    </row>
    <row r="9" spans="1:16" x14ac:dyDescent="0.25">
      <c r="A9" s="17" t="s">
        <v>544</v>
      </c>
      <c r="B9" s="17" t="s">
        <v>545</v>
      </c>
      <c r="C9" s="16" t="s">
        <v>495</v>
      </c>
      <c r="D9" s="16" t="s">
        <v>3960</v>
      </c>
      <c r="E9" s="16"/>
      <c r="F9" s="16"/>
      <c r="G9" s="16"/>
      <c r="H9" s="16" t="s">
        <v>3960</v>
      </c>
      <c r="I9" s="16"/>
      <c r="J9" s="16"/>
      <c r="K9" s="16"/>
      <c r="L9" s="16"/>
      <c r="M9" s="16"/>
      <c r="N9" s="16"/>
      <c r="O9" s="16"/>
      <c r="P9" s="16"/>
    </row>
    <row r="10" spans="1:16" x14ac:dyDescent="0.25">
      <c r="A10" s="17" t="s">
        <v>555</v>
      </c>
      <c r="B10" s="17" t="s">
        <v>556</v>
      </c>
      <c r="C10" s="16" t="s">
        <v>495</v>
      </c>
      <c r="D10" s="16" t="s">
        <v>3960</v>
      </c>
      <c r="E10" s="16"/>
      <c r="F10" s="16"/>
      <c r="G10" s="16"/>
      <c r="H10" s="16" t="s">
        <v>3960</v>
      </c>
      <c r="I10" s="16"/>
      <c r="J10" s="16"/>
      <c r="K10" s="16"/>
      <c r="L10" s="16"/>
      <c r="M10" s="16"/>
      <c r="N10" s="16"/>
      <c r="O10" s="16"/>
      <c r="P10" s="16"/>
    </row>
    <row r="11" spans="1:16" x14ac:dyDescent="0.25">
      <c r="A11" s="17" t="s">
        <v>566</v>
      </c>
      <c r="B11" s="17" t="s">
        <v>568</v>
      </c>
      <c r="C11" s="16" t="s">
        <v>495</v>
      </c>
      <c r="D11" s="16"/>
      <c r="E11" s="16" t="s">
        <v>3960</v>
      </c>
      <c r="F11" s="16" t="s">
        <v>3960</v>
      </c>
      <c r="G11" s="16"/>
      <c r="H11" s="16"/>
      <c r="I11" s="16"/>
      <c r="J11" s="16"/>
      <c r="K11" s="16"/>
      <c r="L11" s="16"/>
      <c r="M11" s="16"/>
      <c r="N11" s="16"/>
      <c r="O11" s="16"/>
      <c r="P11" s="16"/>
    </row>
    <row r="12" spans="1:16" x14ac:dyDescent="0.25">
      <c r="A12" s="17" t="s">
        <v>579</v>
      </c>
      <c r="B12" s="17" t="s">
        <v>580</v>
      </c>
      <c r="C12" s="16" t="s">
        <v>495</v>
      </c>
      <c r="D12" s="16"/>
      <c r="E12" s="16" t="s">
        <v>3960</v>
      </c>
      <c r="F12" s="16"/>
      <c r="G12" s="16"/>
      <c r="H12" s="16"/>
      <c r="I12" s="16"/>
      <c r="J12" s="16"/>
      <c r="K12" s="16"/>
      <c r="L12" s="16"/>
      <c r="M12" s="16"/>
      <c r="N12" s="16"/>
      <c r="O12" s="16"/>
      <c r="P12" s="16"/>
    </row>
    <row r="13" spans="1:16" x14ac:dyDescent="0.25">
      <c r="A13" s="17" t="s">
        <v>590</v>
      </c>
      <c r="B13" s="17" t="s">
        <v>591</v>
      </c>
      <c r="C13" s="16" t="s">
        <v>495</v>
      </c>
      <c r="D13" s="16"/>
      <c r="E13" s="16" t="s">
        <v>3960</v>
      </c>
      <c r="F13" s="16"/>
      <c r="G13" s="16"/>
      <c r="H13" s="16"/>
      <c r="I13" s="16"/>
      <c r="J13" s="16"/>
      <c r="K13" s="16"/>
      <c r="L13" s="16"/>
      <c r="M13" s="16"/>
      <c r="N13" s="16"/>
      <c r="O13" s="16"/>
      <c r="P13" s="16"/>
    </row>
    <row r="14" spans="1:16" x14ac:dyDescent="0.25">
      <c r="A14" s="17" t="s">
        <v>601</v>
      </c>
      <c r="B14" s="17" t="s">
        <v>602</v>
      </c>
      <c r="C14" s="16" t="s">
        <v>495</v>
      </c>
      <c r="D14" s="16"/>
      <c r="E14" s="16" t="s">
        <v>3960</v>
      </c>
      <c r="F14" s="16"/>
      <c r="G14" s="16"/>
      <c r="H14" s="16"/>
      <c r="I14" s="16"/>
      <c r="J14" s="16"/>
      <c r="K14" s="16"/>
      <c r="L14" s="16"/>
      <c r="M14" s="16"/>
      <c r="N14" s="16"/>
      <c r="O14" s="16"/>
      <c r="P14" s="16"/>
    </row>
    <row r="15" spans="1:16" x14ac:dyDescent="0.25">
      <c r="A15" s="17" t="s">
        <v>611</v>
      </c>
      <c r="B15" s="17" t="s">
        <v>612</v>
      </c>
      <c r="C15" s="16" t="s">
        <v>619</v>
      </c>
      <c r="D15" s="16"/>
      <c r="E15" s="16" t="s">
        <v>3960</v>
      </c>
      <c r="F15" s="16"/>
      <c r="G15" s="16"/>
      <c r="H15" s="16"/>
      <c r="I15" s="16"/>
      <c r="J15" s="16"/>
      <c r="K15" s="16"/>
      <c r="L15" s="16"/>
      <c r="M15" s="16"/>
      <c r="N15" s="16"/>
      <c r="O15" s="16"/>
      <c r="P15" s="16"/>
    </row>
    <row r="16" spans="1:16" x14ac:dyDescent="0.25">
      <c r="A16" s="17" t="s">
        <v>621</v>
      </c>
      <c r="B16" s="17" t="s">
        <v>622</v>
      </c>
      <c r="C16" s="16" t="s">
        <v>495</v>
      </c>
      <c r="D16" s="16"/>
      <c r="E16" s="16" t="s">
        <v>3960</v>
      </c>
      <c r="F16" s="16"/>
      <c r="G16" s="16"/>
      <c r="H16" s="16"/>
      <c r="I16" s="16"/>
      <c r="J16" s="16"/>
      <c r="K16" s="16"/>
      <c r="L16" s="16"/>
      <c r="M16" s="16"/>
      <c r="N16" s="16"/>
      <c r="O16" s="16"/>
      <c r="P16" s="16"/>
    </row>
    <row r="17" spans="1:16" x14ac:dyDescent="0.25">
      <c r="A17" s="17" t="s">
        <v>632</v>
      </c>
      <c r="B17" s="17" t="s">
        <v>633</v>
      </c>
      <c r="C17" s="16" t="s">
        <v>495</v>
      </c>
      <c r="D17" s="16"/>
      <c r="E17" s="16" t="s">
        <v>3960</v>
      </c>
      <c r="F17" s="16"/>
      <c r="G17" s="16"/>
      <c r="H17" s="16"/>
      <c r="I17" s="16"/>
      <c r="J17" s="16"/>
      <c r="K17" s="16"/>
      <c r="L17" s="16"/>
      <c r="M17" s="16"/>
      <c r="N17" s="16"/>
      <c r="O17" s="16"/>
      <c r="P17" s="16"/>
    </row>
    <row r="18" spans="1:16" x14ac:dyDescent="0.25">
      <c r="A18" s="17" t="s">
        <v>641</v>
      </c>
      <c r="B18" s="17" t="s">
        <v>642</v>
      </c>
      <c r="C18" s="16" t="s">
        <v>495</v>
      </c>
      <c r="D18" s="16"/>
      <c r="E18" s="16" t="s">
        <v>3960</v>
      </c>
      <c r="F18" s="16"/>
      <c r="G18" s="16"/>
      <c r="H18" s="16"/>
      <c r="I18" s="16"/>
      <c r="J18" s="16"/>
      <c r="K18" s="16"/>
      <c r="L18" s="16"/>
      <c r="M18" s="16"/>
      <c r="N18" s="16"/>
      <c r="O18" s="16"/>
      <c r="P18" s="16"/>
    </row>
    <row r="19" spans="1:16" x14ac:dyDescent="0.25">
      <c r="A19" s="17" t="s">
        <v>652</v>
      </c>
      <c r="B19" s="17" t="s">
        <v>653</v>
      </c>
      <c r="C19" s="16" t="s">
        <v>495</v>
      </c>
      <c r="D19" s="16"/>
      <c r="E19" s="16" t="s">
        <v>3960</v>
      </c>
      <c r="F19" s="16"/>
      <c r="G19" s="16"/>
      <c r="H19" s="16"/>
      <c r="I19" s="16"/>
      <c r="J19" s="16"/>
      <c r="K19" s="16"/>
      <c r="L19" s="16"/>
      <c r="M19" s="16"/>
      <c r="N19" s="16"/>
      <c r="O19" s="16"/>
      <c r="P19" s="16"/>
    </row>
    <row r="20" spans="1:16" x14ac:dyDescent="0.25">
      <c r="A20" s="17" t="s">
        <v>661</v>
      </c>
      <c r="B20" s="17" t="s">
        <v>662</v>
      </c>
      <c r="C20" s="16" t="s">
        <v>495</v>
      </c>
      <c r="D20" s="16"/>
      <c r="E20" s="16" t="s">
        <v>3960</v>
      </c>
      <c r="F20" s="16"/>
      <c r="G20" s="16"/>
      <c r="H20" s="16"/>
      <c r="I20" s="16"/>
      <c r="J20" s="16"/>
      <c r="K20" s="16"/>
      <c r="L20" s="16"/>
      <c r="M20" s="16"/>
      <c r="N20" s="16"/>
      <c r="O20" s="16"/>
      <c r="P20" s="16"/>
    </row>
    <row r="21" spans="1:16" x14ac:dyDescent="0.25">
      <c r="A21" s="17" t="s">
        <v>669</v>
      </c>
      <c r="B21" s="17" t="s">
        <v>670</v>
      </c>
      <c r="C21" s="16" t="s">
        <v>619</v>
      </c>
      <c r="D21" s="16"/>
      <c r="E21" s="16" t="s">
        <v>3960</v>
      </c>
      <c r="F21" s="16"/>
      <c r="G21" s="16"/>
      <c r="H21" s="16"/>
      <c r="I21" s="16"/>
      <c r="J21" s="16"/>
      <c r="K21" s="16"/>
      <c r="L21" s="16"/>
      <c r="M21" s="16"/>
      <c r="N21" s="16"/>
      <c r="O21" s="16"/>
      <c r="P21" s="16"/>
    </row>
    <row r="22" spans="1:16" x14ac:dyDescent="0.25">
      <c r="A22" s="17" t="s">
        <v>680</v>
      </c>
      <c r="B22" s="17" t="s">
        <v>681</v>
      </c>
      <c r="C22" s="16" t="s">
        <v>619</v>
      </c>
      <c r="D22" s="16"/>
      <c r="E22" s="16" t="s">
        <v>3960</v>
      </c>
      <c r="F22" s="16"/>
      <c r="G22" s="16"/>
      <c r="H22" s="16"/>
      <c r="I22" s="16"/>
      <c r="J22" s="16"/>
      <c r="K22" s="16"/>
      <c r="L22" s="16"/>
      <c r="M22" s="16"/>
      <c r="N22" s="16" t="s">
        <v>3960</v>
      </c>
      <c r="O22" s="16"/>
      <c r="P22" s="16"/>
    </row>
    <row r="23" spans="1:16" x14ac:dyDescent="0.25">
      <c r="A23" s="17" t="s">
        <v>692</v>
      </c>
      <c r="B23" s="17" t="s">
        <v>693</v>
      </c>
      <c r="C23" s="16" t="s">
        <v>495</v>
      </c>
      <c r="D23" s="16"/>
      <c r="E23" s="16" t="s">
        <v>3960</v>
      </c>
      <c r="F23" s="16"/>
      <c r="G23" s="16"/>
      <c r="H23" s="16"/>
      <c r="I23" s="16"/>
      <c r="J23" s="16"/>
      <c r="K23" s="16" t="s">
        <v>3960</v>
      </c>
      <c r="L23" s="16"/>
      <c r="M23" s="16"/>
      <c r="N23" s="16"/>
      <c r="O23" s="16"/>
      <c r="P23" s="16"/>
    </row>
    <row r="24" spans="1:16" x14ac:dyDescent="0.25">
      <c r="A24" s="17" t="s">
        <v>704</v>
      </c>
      <c r="B24" s="17" t="s">
        <v>705</v>
      </c>
      <c r="C24" s="16" t="s">
        <v>713</v>
      </c>
      <c r="D24" s="16" t="s">
        <v>3960</v>
      </c>
      <c r="E24" s="16" t="s">
        <v>3960</v>
      </c>
      <c r="F24" s="16"/>
      <c r="G24" s="16"/>
      <c r="H24" s="16"/>
      <c r="I24" s="16"/>
      <c r="J24" s="16"/>
      <c r="K24" s="16"/>
      <c r="L24" s="16"/>
      <c r="M24" s="16"/>
      <c r="N24" s="16"/>
      <c r="O24" s="16"/>
      <c r="P24" s="16"/>
    </row>
    <row r="25" spans="1:16" x14ac:dyDescent="0.25">
      <c r="A25" s="17" t="s">
        <v>717</v>
      </c>
      <c r="B25" s="17" t="s">
        <v>719</v>
      </c>
      <c r="C25" s="16" t="s">
        <v>495</v>
      </c>
      <c r="D25" s="16"/>
      <c r="E25" s="16"/>
      <c r="F25" s="16" t="s">
        <v>3960</v>
      </c>
      <c r="G25" s="16"/>
      <c r="H25" s="16"/>
      <c r="I25" s="16"/>
      <c r="J25" s="16"/>
      <c r="K25" s="16"/>
      <c r="L25" s="16"/>
      <c r="M25" s="16"/>
      <c r="N25" s="16"/>
      <c r="O25" s="16"/>
      <c r="P25" s="16"/>
    </row>
    <row r="26" spans="1:16" x14ac:dyDescent="0.25">
      <c r="A26" s="17" t="s">
        <v>728</v>
      </c>
      <c r="B26" s="17" t="s">
        <v>729</v>
      </c>
      <c r="C26" s="16" t="s">
        <v>495</v>
      </c>
      <c r="D26" s="16"/>
      <c r="E26" s="16"/>
      <c r="F26" s="16" t="s">
        <v>3960</v>
      </c>
      <c r="G26" s="16"/>
      <c r="H26" s="16"/>
      <c r="I26" s="16"/>
      <c r="J26" s="16"/>
      <c r="K26" s="16"/>
      <c r="L26" s="16"/>
      <c r="M26" s="16"/>
      <c r="N26" s="16"/>
      <c r="O26" s="16"/>
      <c r="P26" s="16"/>
    </row>
    <row r="27" spans="1:16" x14ac:dyDescent="0.25">
      <c r="A27" s="17" t="s">
        <v>739</v>
      </c>
      <c r="B27" s="17" t="s">
        <v>740</v>
      </c>
      <c r="C27" s="16" t="s">
        <v>495</v>
      </c>
      <c r="D27" s="16"/>
      <c r="E27" s="16"/>
      <c r="F27" s="16" t="s">
        <v>3960</v>
      </c>
      <c r="G27" s="16"/>
      <c r="H27" s="16"/>
      <c r="I27" s="16"/>
      <c r="J27" s="16"/>
      <c r="K27" s="16"/>
      <c r="L27" s="16"/>
      <c r="M27" s="16"/>
      <c r="N27" s="16"/>
      <c r="O27" s="16"/>
      <c r="P27" s="16"/>
    </row>
    <row r="28" spans="1:16" x14ac:dyDescent="0.25">
      <c r="A28" s="17" t="s">
        <v>750</v>
      </c>
      <c r="B28" s="17" t="s">
        <v>751</v>
      </c>
      <c r="C28" s="16" t="s">
        <v>619</v>
      </c>
      <c r="D28" s="16"/>
      <c r="E28" s="16"/>
      <c r="F28" s="16" t="s">
        <v>3960</v>
      </c>
      <c r="G28" s="16"/>
      <c r="H28" s="16"/>
      <c r="I28" s="16"/>
      <c r="J28" s="16"/>
      <c r="K28" s="16"/>
      <c r="L28" s="16"/>
      <c r="M28" s="16"/>
      <c r="N28" s="16"/>
      <c r="O28" s="16"/>
      <c r="P28" s="16"/>
    </row>
    <row r="29" spans="1:16" x14ac:dyDescent="0.25">
      <c r="A29" s="17" t="s">
        <v>759</v>
      </c>
      <c r="B29" s="17" t="s">
        <v>760</v>
      </c>
      <c r="C29" s="16" t="s">
        <v>495</v>
      </c>
      <c r="D29" s="16"/>
      <c r="E29" s="16"/>
      <c r="F29" s="16" t="s">
        <v>3960</v>
      </c>
      <c r="G29" s="16"/>
      <c r="H29" s="16"/>
      <c r="I29" s="16"/>
      <c r="J29" s="16"/>
      <c r="K29" s="16"/>
      <c r="L29" s="16"/>
      <c r="M29" s="16"/>
      <c r="N29" s="16"/>
      <c r="O29" s="16"/>
      <c r="P29" s="16"/>
    </row>
    <row r="30" spans="1:16" x14ac:dyDescent="0.25">
      <c r="A30" s="17" t="s">
        <v>768</v>
      </c>
      <c r="B30" s="17" t="s">
        <v>769</v>
      </c>
      <c r="C30" s="16" t="s">
        <v>495</v>
      </c>
      <c r="D30" s="16"/>
      <c r="E30" s="16"/>
      <c r="F30" s="16" t="s">
        <v>3960</v>
      </c>
      <c r="G30" s="16"/>
      <c r="H30" s="16"/>
      <c r="I30" s="16"/>
      <c r="J30" s="16"/>
      <c r="K30" s="16"/>
      <c r="L30" s="16"/>
      <c r="M30" s="16" t="s">
        <v>3960</v>
      </c>
      <c r="N30" s="16"/>
      <c r="O30" s="16"/>
      <c r="P30" s="16"/>
    </row>
    <row r="31" spans="1:16" x14ac:dyDescent="0.25">
      <c r="A31" s="17" t="s">
        <v>777</v>
      </c>
      <c r="B31" s="17" t="s">
        <v>778</v>
      </c>
      <c r="C31" s="16" t="s">
        <v>495</v>
      </c>
      <c r="D31" s="16"/>
      <c r="E31" s="16"/>
      <c r="F31" s="16" t="s">
        <v>3960</v>
      </c>
      <c r="G31" s="16"/>
      <c r="H31" s="16"/>
      <c r="I31" s="16"/>
      <c r="J31" s="16"/>
      <c r="K31" s="16"/>
      <c r="L31" s="16"/>
      <c r="M31" s="16"/>
      <c r="N31" s="16"/>
      <c r="O31" s="16"/>
      <c r="P31" s="16"/>
    </row>
    <row r="32" spans="1:16" x14ac:dyDescent="0.25">
      <c r="A32" s="17" t="s">
        <v>788</v>
      </c>
      <c r="B32" s="17" t="s">
        <v>789</v>
      </c>
      <c r="C32" s="16" t="s">
        <v>495</v>
      </c>
      <c r="D32" s="16"/>
      <c r="E32" s="16"/>
      <c r="F32" s="16" t="s">
        <v>3960</v>
      </c>
      <c r="G32" s="16"/>
      <c r="H32" s="16"/>
      <c r="I32" s="16"/>
      <c r="J32" s="16"/>
      <c r="K32" s="16"/>
      <c r="L32" s="16"/>
      <c r="M32" s="16"/>
      <c r="N32" s="16" t="s">
        <v>3960</v>
      </c>
      <c r="O32" s="16"/>
      <c r="P32" s="16"/>
    </row>
    <row r="33" spans="1:16" x14ac:dyDescent="0.25">
      <c r="A33" s="17" t="s">
        <v>800</v>
      </c>
      <c r="B33" s="17" t="s">
        <v>802</v>
      </c>
      <c r="C33" s="16" t="s">
        <v>495</v>
      </c>
      <c r="D33" s="16"/>
      <c r="E33" s="16"/>
      <c r="F33" s="16" t="s">
        <v>3960</v>
      </c>
      <c r="G33" s="16"/>
      <c r="H33" s="16"/>
      <c r="I33" s="16"/>
      <c r="J33" s="16"/>
      <c r="K33" s="16"/>
      <c r="L33" s="16"/>
      <c r="M33" s="16"/>
      <c r="N33" s="16"/>
      <c r="O33" s="16"/>
      <c r="P33" s="16"/>
    </row>
    <row r="34" spans="1:16" x14ac:dyDescent="0.25">
      <c r="A34" s="17" t="s">
        <v>811</v>
      </c>
      <c r="B34" s="17" t="s">
        <v>812</v>
      </c>
      <c r="C34" s="16" t="s">
        <v>495</v>
      </c>
      <c r="D34" s="16"/>
      <c r="E34" s="16"/>
      <c r="F34" s="16" t="s">
        <v>3960</v>
      </c>
      <c r="G34" s="16"/>
      <c r="H34" s="16"/>
      <c r="I34" s="16"/>
      <c r="J34" s="16"/>
      <c r="K34" s="16"/>
      <c r="L34" s="16"/>
      <c r="M34" s="16"/>
      <c r="N34" s="16"/>
      <c r="O34" s="16"/>
      <c r="P34" s="16"/>
    </row>
    <row r="35" spans="1:16" x14ac:dyDescent="0.25">
      <c r="A35" s="17" t="s">
        <v>822</v>
      </c>
      <c r="B35" s="17" t="s">
        <v>823</v>
      </c>
      <c r="C35" s="16" t="s">
        <v>495</v>
      </c>
      <c r="D35" s="16"/>
      <c r="E35" s="16"/>
      <c r="F35" s="16" t="s">
        <v>3960</v>
      </c>
      <c r="G35" s="16"/>
      <c r="H35" s="16"/>
      <c r="I35" s="16"/>
      <c r="J35" s="16"/>
      <c r="K35" s="16"/>
      <c r="L35" s="16"/>
      <c r="M35" s="16"/>
      <c r="N35" s="16"/>
      <c r="O35" s="16"/>
      <c r="P35" s="16"/>
    </row>
    <row r="36" spans="1:16" x14ac:dyDescent="0.25">
      <c r="A36" s="17" t="s">
        <v>832</v>
      </c>
      <c r="B36" s="17" t="s">
        <v>833</v>
      </c>
      <c r="C36" s="16" t="s">
        <v>619</v>
      </c>
      <c r="D36" s="16"/>
      <c r="E36" s="16"/>
      <c r="F36" s="16" t="s">
        <v>3960</v>
      </c>
      <c r="G36" s="16"/>
      <c r="H36" s="16"/>
      <c r="I36" s="16"/>
      <c r="J36" s="16"/>
      <c r="K36" s="16"/>
      <c r="L36" s="16"/>
      <c r="M36" s="16"/>
      <c r="N36" s="16"/>
      <c r="O36" s="16"/>
      <c r="P36" s="16"/>
    </row>
    <row r="37" spans="1:16" x14ac:dyDescent="0.25">
      <c r="A37" s="17" t="s">
        <v>841</v>
      </c>
      <c r="B37" s="17" t="s">
        <v>842</v>
      </c>
      <c r="C37" s="16" t="s">
        <v>619</v>
      </c>
      <c r="D37" s="16"/>
      <c r="E37" s="16"/>
      <c r="F37" s="16" t="s">
        <v>3960</v>
      </c>
      <c r="G37" s="16"/>
      <c r="H37" s="16"/>
      <c r="I37" s="16"/>
      <c r="J37" s="16"/>
      <c r="K37" s="16"/>
      <c r="L37" s="16"/>
      <c r="M37" s="16"/>
      <c r="N37" s="16" t="s">
        <v>3960</v>
      </c>
      <c r="O37" s="16"/>
      <c r="P37" s="16"/>
    </row>
    <row r="38" spans="1:16" x14ac:dyDescent="0.25">
      <c r="A38" s="17" t="s">
        <v>850</v>
      </c>
      <c r="B38" s="17" t="s">
        <v>852</v>
      </c>
      <c r="C38" s="16" t="s">
        <v>495</v>
      </c>
      <c r="D38" s="16"/>
      <c r="E38" s="16"/>
      <c r="F38" s="16" t="s">
        <v>3960</v>
      </c>
      <c r="G38" s="16" t="s">
        <v>3960</v>
      </c>
      <c r="H38" s="16"/>
      <c r="I38" s="16"/>
      <c r="J38" s="16"/>
      <c r="K38" s="16"/>
      <c r="L38" s="16"/>
      <c r="M38" s="16"/>
      <c r="N38" s="16"/>
      <c r="O38" s="16"/>
      <c r="P38" s="16"/>
    </row>
    <row r="39" spans="1:16" x14ac:dyDescent="0.25">
      <c r="A39" s="17" t="s">
        <v>864</v>
      </c>
      <c r="B39" s="17" t="s">
        <v>865</v>
      </c>
      <c r="C39" s="16" t="s">
        <v>495</v>
      </c>
      <c r="D39" s="16"/>
      <c r="E39" s="16"/>
      <c r="F39" s="16" t="s">
        <v>3960</v>
      </c>
      <c r="G39" s="16" t="s">
        <v>3960</v>
      </c>
      <c r="H39" s="16"/>
      <c r="I39" s="16"/>
      <c r="J39" s="16"/>
      <c r="K39" s="16"/>
      <c r="L39" s="16"/>
      <c r="M39" s="16"/>
      <c r="N39" s="16"/>
      <c r="O39" s="16"/>
      <c r="P39" s="16"/>
    </row>
    <row r="40" spans="1:16" x14ac:dyDescent="0.25">
      <c r="A40" s="17" t="s">
        <v>874</v>
      </c>
      <c r="B40" s="17" t="s">
        <v>875</v>
      </c>
      <c r="C40" s="16" t="s">
        <v>495</v>
      </c>
      <c r="D40" s="16"/>
      <c r="E40" s="16"/>
      <c r="F40" s="16" t="s">
        <v>3960</v>
      </c>
      <c r="G40" s="16"/>
      <c r="H40" s="16"/>
      <c r="I40" s="16"/>
      <c r="J40" s="16"/>
      <c r="K40" s="16"/>
      <c r="L40" s="16"/>
      <c r="M40" s="16"/>
      <c r="N40" s="16"/>
      <c r="O40" s="16" t="s">
        <v>3960</v>
      </c>
      <c r="P40" s="16"/>
    </row>
    <row r="41" spans="1:16" x14ac:dyDescent="0.25">
      <c r="A41" s="17" t="s">
        <v>884</v>
      </c>
      <c r="B41" s="17" t="s">
        <v>885</v>
      </c>
      <c r="C41" s="16" t="s">
        <v>619</v>
      </c>
      <c r="D41" s="16"/>
      <c r="E41" s="16"/>
      <c r="F41" s="16" t="s">
        <v>3960</v>
      </c>
      <c r="G41" s="16"/>
      <c r="H41" s="16"/>
      <c r="I41" s="16"/>
      <c r="J41" s="16"/>
      <c r="K41" s="16"/>
      <c r="L41" s="16"/>
      <c r="M41" s="16"/>
      <c r="N41" s="16"/>
      <c r="O41" s="16" t="s">
        <v>3960</v>
      </c>
      <c r="P41" s="16"/>
    </row>
    <row r="42" spans="1:16" x14ac:dyDescent="0.25">
      <c r="A42" s="17" t="s">
        <v>895</v>
      </c>
      <c r="B42" s="17" t="s">
        <v>897</v>
      </c>
      <c r="C42" s="16" t="s">
        <v>495</v>
      </c>
      <c r="D42" s="16"/>
      <c r="E42" s="16"/>
      <c r="F42" s="16"/>
      <c r="G42" s="16"/>
      <c r="H42" s="16"/>
      <c r="I42" s="16"/>
      <c r="J42" s="16"/>
      <c r="K42" s="16"/>
      <c r="L42" s="16"/>
      <c r="M42" s="16" t="s">
        <v>3960</v>
      </c>
      <c r="N42" s="16"/>
      <c r="O42" s="16"/>
      <c r="P42" s="16"/>
    </row>
    <row r="43" spans="1:16" x14ac:dyDescent="0.25">
      <c r="A43" s="17" t="s">
        <v>907</v>
      </c>
      <c r="B43" s="17" t="s">
        <v>908</v>
      </c>
      <c r="C43" s="16" t="s">
        <v>495</v>
      </c>
      <c r="D43" s="16"/>
      <c r="E43" s="16"/>
      <c r="F43" s="16"/>
      <c r="G43" s="16"/>
      <c r="H43" s="16"/>
      <c r="I43" s="16"/>
      <c r="J43" s="16"/>
      <c r="K43" s="16"/>
      <c r="L43" s="16"/>
      <c r="M43" s="16" t="s">
        <v>3960</v>
      </c>
      <c r="N43" s="16"/>
      <c r="O43" s="16"/>
      <c r="P43" s="16"/>
    </row>
    <row r="44" spans="1:16" x14ac:dyDescent="0.25">
      <c r="A44" s="17" t="s">
        <v>918</v>
      </c>
      <c r="B44" s="17" t="s">
        <v>919</v>
      </c>
      <c r="C44" s="16" t="s">
        <v>495</v>
      </c>
      <c r="D44" s="16"/>
      <c r="E44" s="16"/>
      <c r="F44" s="16"/>
      <c r="G44" s="16"/>
      <c r="H44" s="16"/>
      <c r="I44" s="16"/>
      <c r="J44" s="16"/>
      <c r="K44" s="16"/>
      <c r="L44" s="16"/>
      <c r="M44" s="16" t="s">
        <v>3960</v>
      </c>
      <c r="N44" s="16"/>
      <c r="O44" s="16"/>
      <c r="P44" s="16"/>
    </row>
    <row r="45" spans="1:16" x14ac:dyDescent="0.25">
      <c r="A45" s="17" t="s">
        <v>929</v>
      </c>
      <c r="B45" s="17" t="s">
        <v>930</v>
      </c>
      <c r="C45" s="16" t="s">
        <v>619</v>
      </c>
      <c r="D45" s="16"/>
      <c r="E45" s="16"/>
      <c r="F45" s="16"/>
      <c r="G45" s="16"/>
      <c r="H45" s="16"/>
      <c r="I45" s="16"/>
      <c r="J45" s="16"/>
      <c r="K45" s="16"/>
      <c r="L45" s="16"/>
      <c r="M45" s="16" t="s">
        <v>3960</v>
      </c>
      <c r="N45" s="16"/>
      <c r="O45" s="16"/>
      <c r="P45" s="16"/>
    </row>
    <row r="46" spans="1:16" x14ac:dyDescent="0.25">
      <c r="A46" s="17" t="s">
        <v>939</v>
      </c>
      <c r="B46" s="17" t="s">
        <v>940</v>
      </c>
      <c r="C46" s="16" t="s">
        <v>495</v>
      </c>
      <c r="D46" s="16"/>
      <c r="E46" s="16"/>
      <c r="F46" s="16"/>
      <c r="G46" s="16"/>
      <c r="H46" s="16"/>
      <c r="I46" s="16"/>
      <c r="J46" s="16"/>
      <c r="K46" s="16"/>
      <c r="L46" s="16"/>
      <c r="M46" s="16" t="s">
        <v>3960</v>
      </c>
      <c r="N46" s="16" t="s">
        <v>3960</v>
      </c>
      <c r="O46" s="16"/>
      <c r="P46" s="16"/>
    </row>
    <row r="47" spans="1:16" x14ac:dyDescent="0.25">
      <c r="A47" s="17" t="s">
        <v>952</v>
      </c>
      <c r="B47" s="17" t="s">
        <v>954</v>
      </c>
      <c r="C47" s="16" t="s">
        <v>495</v>
      </c>
      <c r="D47" s="16"/>
      <c r="E47" s="16"/>
      <c r="F47" s="16"/>
      <c r="G47" s="16"/>
      <c r="H47" s="16"/>
      <c r="I47" s="16"/>
      <c r="J47" s="16"/>
      <c r="K47" s="16"/>
      <c r="L47" s="16"/>
      <c r="M47" s="16" t="s">
        <v>3960</v>
      </c>
      <c r="N47" s="16"/>
      <c r="O47" s="16"/>
      <c r="P47" s="16"/>
    </row>
    <row r="48" spans="1:16" x14ac:dyDescent="0.25">
      <c r="A48" s="17" t="s">
        <v>963</v>
      </c>
      <c r="B48" s="17" t="s">
        <v>964</v>
      </c>
      <c r="C48" s="16" t="s">
        <v>495</v>
      </c>
      <c r="D48" s="16"/>
      <c r="E48" s="16"/>
      <c r="F48" s="16"/>
      <c r="G48" s="16"/>
      <c r="H48" s="16"/>
      <c r="I48" s="16"/>
      <c r="J48" s="16"/>
      <c r="K48" s="16"/>
      <c r="L48" s="16"/>
      <c r="M48" s="16" t="s">
        <v>3960</v>
      </c>
      <c r="N48" s="16"/>
      <c r="O48" s="16"/>
      <c r="P48" s="16"/>
    </row>
    <row r="49" spans="1:16" x14ac:dyDescent="0.25">
      <c r="A49" s="17" t="s">
        <v>975</v>
      </c>
      <c r="B49" s="17" t="s">
        <v>976</v>
      </c>
      <c r="C49" s="16" t="s">
        <v>495</v>
      </c>
      <c r="D49" s="16"/>
      <c r="E49" s="16"/>
      <c r="F49" s="16"/>
      <c r="G49" s="16" t="s">
        <v>3960</v>
      </c>
      <c r="H49" s="16"/>
      <c r="I49" s="16"/>
      <c r="J49" s="16"/>
      <c r="K49" s="16"/>
      <c r="L49" s="16"/>
      <c r="M49" s="16" t="s">
        <v>3960</v>
      </c>
      <c r="N49" s="16"/>
      <c r="O49" s="16"/>
      <c r="P49" s="16"/>
    </row>
    <row r="50" spans="1:16" x14ac:dyDescent="0.25">
      <c r="A50" s="17" t="s">
        <v>986</v>
      </c>
      <c r="B50" s="17" t="s">
        <v>987</v>
      </c>
      <c r="C50" s="16" t="s">
        <v>495</v>
      </c>
      <c r="D50" s="16" t="s">
        <v>3960</v>
      </c>
      <c r="E50" s="16"/>
      <c r="F50" s="16"/>
      <c r="G50" s="16"/>
      <c r="H50" s="16"/>
      <c r="I50" s="16"/>
      <c r="J50" s="16"/>
      <c r="K50" s="16"/>
      <c r="L50" s="16"/>
      <c r="M50" s="16" t="s">
        <v>3960</v>
      </c>
      <c r="N50" s="16"/>
      <c r="O50" s="16"/>
      <c r="P50" s="16"/>
    </row>
    <row r="51" spans="1:16" x14ac:dyDescent="0.25">
      <c r="A51" s="17" t="s">
        <v>998</v>
      </c>
      <c r="B51" s="17" t="s">
        <v>999</v>
      </c>
      <c r="C51" s="16" t="s">
        <v>619</v>
      </c>
      <c r="D51" s="16"/>
      <c r="E51" s="16"/>
      <c r="F51" s="16"/>
      <c r="G51" s="16"/>
      <c r="H51" s="16"/>
      <c r="I51" s="16"/>
      <c r="J51" s="16"/>
      <c r="K51" s="16"/>
      <c r="L51" s="16"/>
      <c r="M51" s="16" t="s">
        <v>3960</v>
      </c>
      <c r="N51" s="16" t="s">
        <v>3960</v>
      </c>
      <c r="O51" s="16"/>
      <c r="P51" s="16"/>
    </row>
    <row r="52" spans="1:16" x14ac:dyDescent="0.25">
      <c r="A52" s="17" t="s">
        <v>1009</v>
      </c>
      <c r="B52" s="17" t="s">
        <v>1010</v>
      </c>
      <c r="C52" s="16" t="s">
        <v>619</v>
      </c>
      <c r="D52" s="16"/>
      <c r="E52" s="16"/>
      <c r="F52" s="16"/>
      <c r="G52" s="16"/>
      <c r="H52" s="16"/>
      <c r="I52" s="16"/>
      <c r="J52" s="16"/>
      <c r="K52" s="16"/>
      <c r="L52" s="16"/>
      <c r="M52" s="16" t="s">
        <v>3960</v>
      </c>
      <c r="N52" s="16" t="s">
        <v>3960</v>
      </c>
      <c r="O52" s="16"/>
      <c r="P52" s="16"/>
    </row>
    <row r="53" spans="1:16" x14ac:dyDescent="0.25">
      <c r="A53" s="17" t="s">
        <v>1018</v>
      </c>
      <c r="B53" s="17" t="s">
        <v>1019</v>
      </c>
      <c r="C53" s="16" t="s">
        <v>619</v>
      </c>
      <c r="D53" s="16"/>
      <c r="E53" s="16"/>
      <c r="F53" s="16"/>
      <c r="G53" s="16"/>
      <c r="H53" s="16"/>
      <c r="I53" s="16"/>
      <c r="J53" s="16"/>
      <c r="K53" s="16"/>
      <c r="L53" s="16"/>
      <c r="M53" s="16" t="s">
        <v>3960</v>
      </c>
      <c r="N53" s="16"/>
      <c r="O53" s="16"/>
      <c r="P53" s="16"/>
    </row>
    <row r="54" spans="1:16" x14ac:dyDescent="0.25">
      <c r="A54" s="17" t="s">
        <v>1028</v>
      </c>
      <c r="B54" s="17" t="s">
        <v>1029</v>
      </c>
      <c r="C54" s="16" t="s">
        <v>619</v>
      </c>
      <c r="D54" s="16"/>
      <c r="E54" s="16"/>
      <c r="F54" s="16"/>
      <c r="G54" s="16"/>
      <c r="H54" s="16"/>
      <c r="I54" s="16"/>
      <c r="J54" s="16"/>
      <c r="K54" s="16"/>
      <c r="L54" s="16"/>
      <c r="M54" s="16" t="s">
        <v>3960</v>
      </c>
      <c r="N54" s="16" t="s">
        <v>3960</v>
      </c>
      <c r="O54" s="16"/>
      <c r="P54" s="16"/>
    </row>
    <row r="55" spans="1:16" x14ac:dyDescent="0.25">
      <c r="A55" s="17" t="s">
        <v>1039</v>
      </c>
      <c r="B55" s="17" t="s">
        <v>1041</v>
      </c>
      <c r="C55" s="16" t="s">
        <v>495</v>
      </c>
      <c r="D55" s="16" t="s">
        <v>3960</v>
      </c>
      <c r="E55" s="16"/>
      <c r="F55" s="16"/>
      <c r="G55" s="16" t="s">
        <v>3960</v>
      </c>
      <c r="H55" s="16"/>
      <c r="I55" s="16"/>
      <c r="J55" s="16"/>
      <c r="K55" s="16"/>
      <c r="L55" s="16"/>
      <c r="M55" s="16"/>
      <c r="N55" s="16"/>
      <c r="O55" s="16"/>
      <c r="P55" s="16"/>
    </row>
    <row r="56" spans="1:16" x14ac:dyDescent="0.25">
      <c r="A56" s="17" t="s">
        <v>1052</v>
      </c>
      <c r="B56" s="17" t="s">
        <v>1053</v>
      </c>
      <c r="C56" s="16" t="s">
        <v>495</v>
      </c>
      <c r="D56" s="16"/>
      <c r="E56" s="16"/>
      <c r="F56" s="16"/>
      <c r="G56" s="16" t="s">
        <v>3960</v>
      </c>
      <c r="H56" s="16"/>
      <c r="I56" s="16"/>
      <c r="J56" s="16"/>
      <c r="K56" s="16"/>
      <c r="L56" s="16"/>
      <c r="M56" s="16"/>
      <c r="N56" s="16"/>
      <c r="O56" s="16"/>
      <c r="P56" s="16"/>
    </row>
    <row r="57" spans="1:16" x14ac:dyDescent="0.25">
      <c r="A57" s="17" t="s">
        <v>1063</v>
      </c>
      <c r="B57" s="17" t="s">
        <v>1064</v>
      </c>
      <c r="C57" s="16" t="s">
        <v>495</v>
      </c>
      <c r="D57" s="16"/>
      <c r="E57" s="16"/>
      <c r="F57" s="16"/>
      <c r="G57" s="16" t="s">
        <v>3960</v>
      </c>
      <c r="H57" s="16"/>
      <c r="I57" s="16"/>
      <c r="J57" s="16"/>
      <c r="K57" s="16"/>
      <c r="L57" s="16"/>
      <c r="M57" s="16"/>
      <c r="N57" s="16"/>
      <c r="O57" s="16"/>
      <c r="P57" s="16"/>
    </row>
    <row r="58" spans="1:16" x14ac:dyDescent="0.25">
      <c r="A58" s="17" t="s">
        <v>1073</v>
      </c>
      <c r="B58" s="17" t="s">
        <v>1074</v>
      </c>
      <c r="C58" s="16" t="s">
        <v>495</v>
      </c>
      <c r="D58" s="16"/>
      <c r="E58" s="16"/>
      <c r="F58" s="16"/>
      <c r="G58" s="16" t="s">
        <v>3960</v>
      </c>
      <c r="H58" s="16" t="s">
        <v>3960</v>
      </c>
      <c r="I58" s="16"/>
      <c r="J58" s="16"/>
      <c r="K58" s="16"/>
      <c r="L58" s="16"/>
      <c r="M58" s="16"/>
      <c r="N58" s="16"/>
      <c r="O58" s="16"/>
      <c r="P58" s="16"/>
    </row>
    <row r="59" spans="1:16" x14ac:dyDescent="0.25">
      <c r="A59" s="17" t="s">
        <v>1086</v>
      </c>
      <c r="B59" s="17" t="s">
        <v>1087</v>
      </c>
      <c r="C59" s="16" t="s">
        <v>619</v>
      </c>
      <c r="D59" s="16"/>
      <c r="E59" s="16"/>
      <c r="F59" s="16"/>
      <c r="G59" s="16" t="s">
        <v>3960</v>
      </c>
      <c r="H59" s="16"/>
      <c r="I59" s="16"/>
      <c r="J59" s="16"/>
      <c r="K59" s="16"/>
      <c r="L59" s="16"/>
      <c r="M59" s="16"/>
      <c r="N59" s="16"/>
      <c r="O59" s="16"/>
      <c r="P59" s="16"/>
    </row>
    <row r="60" spans="1:16" x14ac:dyDescent="0.25">
      <c r="A60" s="17" t="s">
        <v>1097</v>
      </c>
      <c r="B60" s="17" t="s">
        <v>1098</v>
      </c>
      <c r="C60" s="16" t="s">
        <v>495</v>
      </c>
      <c r="D60" s="16"/>
      <c r="E60" s="16"/>
      <c r="F60" s="16"/>
      <c r="G60" s="16" t="s">
        <v>3960</v>
      </c>
      <c r="H60" s="16"/>
      <c r="I60" s="16"/>
      <c r="J60" s="16"/>
      <c r="K60" s="16"/>
      <c r="L60" s="16"/>
      <c r="M60" s="16"/>
      <c r="N60" s="16"/>
      <c r="O60" s="16"/>
      <c r="P60" s="16"/>
    </row>
    <row r="61" spans="1:16" x14ac:dyDescent="0.25">
      <c r="A61" s="17" t="s">
        <v>1107</v>
      </c>
      <c r="B61" s="17" t="s">
        <v>1108</v>
      </c>
      <c r="C61" s="16" t="s">
        <v>495</v>
      </c>
      <c r="D61" s="16"/>
      <c r="E61" s="16"/>
      <c r="F61" s="16"/>
      <c r="G61" s="16" t="s">
        <v>3960</v>
      </c>
      <c r="H61" s="16"/>
      <c r="I61" s="16"/>
      <c r="J61" s="16"/>
      <c r="K61" s="16"/>
      <c r="L61" s="16"/>
      <c r="M61" s="16"/>
      <c r="N61" s="16"/>
      <c r="O61" s="16"/>
      <c r="P61" s="16"/>
    </row>
    <row r="62" spans="1:16" x14ac:dyDescent="0.25">
      <c r="A62" s="17" t="s">
        <v>1118</v>
      </c>
      <c r="B62" s="17" t="s">
        <v>1119</v>
      </c>
      <c r="C62" s="16" t="s">
        <v>495</v>
      </c>
      <c r="D62" s="16"/>
      <c r="E62" s="16"/>
      <c r="F62" s="16"/>
      <c r="G62" s="16" t="s">
        <v>3960</v>
      </c>
      <c r="H62" s="16"/>
      <c r="I62" s="16"/>
      <c r="J62" s="16"/>
      <c r="K62" s="16"/>
      <c r="L62" s="16"/>
      <c r="M62" s="16"/>
      <c r="N62" s="16"/>
      <c r="O62" s="16"/>
      <c r="P62" s="16"/>
    </row>
    <row r="63" spans="1:16" x14ac:dyDescent="0.25">
      <c r="A63" s="17" t="s">
        <v>1127</v>
      </c>
      <c r="B63" s="17" t="s">
        <v>1128</v>
      </c>
      <c r="C63" s="16" t="s">
        <v>495</v>
      </c>
      <c r="D63" s="16"/>
      <c r="E63" s="16"/>
      <c r="F63" s="16"/>
      <c r="G63" s="16" t="s">
        <v>3960</v>
      </c>
      <c r="H63" s="16"/>
      <c r="I63" s="16"/>
      <c r="J63" s="16"/>
      <c r="K63" s="16"/>
      <c r="L63" s="16" t="s">
        <v>3960</v>
      </c>
      <c r="M63" s="16"/>
      <c r="N63" s="16"/>
      <c r="O63" s="16"/>
      <c r="P63" s="16"/>
    </row>
    <row r="64" spans="1:16" x14ac:dyDescent="0.25">
      <c r="A64" s="17" t="s">
        <v>1137</v>
      </c>
      <c r="B64" s="17" t="s">
        <v>1138</v>
      </c>
      <c r="C64" s="16" t="s">
        <v>495</v>
      </c>
      <c r="D64" s="16"/>
      <c r="E64" s="16"/>
      <c r="F64" s="16"/>
      <c r="G64" s="16" t="s">
        <v>3960</v>
      </c>
      <c r="H64" s="16"/>
      <c r="I64" s="16"/>
      <c r="J64" s="16"/>
      <c r="K64" s="16"/>
      <c r="L64" s="16"/>
      <c r="M64" s="16"/>
      <c r="N64" s="16"/>
      <c r="O64" s="16"/>
      <c r="P64" s="16"/>
    </row>
    <row r="65" spans="1:16" x14ac:dyDescent="0.25">
      <c r="A65" s="17" t="s">
        <v>1146</v>
      </c>
      <c r="B65" s="17" t="s">
        <v>1147</v>
      </c>
      <c r="C65" s="16" t="s">
        <v>619</v>
      </c>
      <c r="D65" s="16"/>
      <c r="E65" s="16"/>
      <c r="F65" s="16"/>
      <c r="G65" s="16" t="s">
        <v>3960</v>
      </c>
      <c r="H65" s="16"/>
      <c r="I65" s="16" t="s">
        <v>3960</v>
      </c>
      <c r="J65" s="16"/>
      <c r="K65" s="16"/>
      <c r="L65" s="16"/>
      <c r="M65" s="16"/>
      <c r="N65" s="16"/>
      <c r="O65" s="16"/>
      <c r="P65" s="16"/>
    </row>
    <row r="66" spans="1:16" x14ac:dyDescent="0.25">
      <c r="A66" s="17" t="s">
        <v>1159</v>
      </c>
      <c r="B66" s="17" t="s">
        <v>1160</v>
      </c>
      <c r="C66" s="16" t="s">
        <v>495</v>
      </c>
      <c r="D66" s="16"/>
      <c r="E66" s="16"/>
      <c r="F66" s="16"/>
      <c r="G66" s="16" t="s">
        <v>3960</v>
      </c>
      <c r="H66" s="16"/>
      <c r="I66" s="16"/>
      <c r="J66" s="16"/>
      <c r="K66" s="16"/>
      <c r="L66" s="16"/>
      <c r="M66" s="16"/>
      <c r="N66" s="16"/>
      <c r="O66" s="16"/>
      <c r="P66" s="16" t="s">
        <v>3960</v>
      </c>
    </row>
    <row r="67" spans="1:16" x14ac:dyDescent="0.25">
      <c r="A67" s="17" t="s">
        <v>1170</v>
      </c>
      <c r="B67" s="17" t="s">
        <v>1171</v>
      </c>
      <c r="C67" s="16" t="s">
        <v>713</v>
      </c>
      <c r="D67" s="16"/>
      <c r="E67" s="16"/>
      <c r="F67" s="16"/>
      <c r="G67" s="16" t="s">
        <v>3960</v>
      </c>
      <c r="H67" s="16"/>
      <c r="I67" s="16"/>
      <c r="J67" s="16"/>
      <c r="K67" s="16"/>
      <c r="L67" s="16"/>
      <c r="M67" s="16"/>
      <c r="N67" s="16"/>
      <c r="O67" s="16"/>
      <c r="P67" s="16" t="s">
        <v>3960</v>
      </c>
    </row>
    <row r="68" spans="1:16" x14ac:dyDescent="0.25">
      <c r="A68" s="17" t="s">
        <v>1181</v>
      </c>
      <c r="B68" s="17" t="s">
        <v>1183</v>
      </c>
      <c r="C68" s="16" t="s">
        <v>495</v>
      </c>
      <c r="D68" s="16"/>
      <c r="E68" s="16"/>
      <c r="F68" s="16"/>
      <c r="G68" s="16"/>
      <c r="H68" s="16" t="s">
        <v>3960</v>
      </c>
      <c r="I68" s="16"/>
      <c r="J68" s="16"/>
      <c r="K68" s="16"/>
      <c r="L68" s="16"/>
      <c r="M68" s="16"/>
      <c r="N68" s="16"/>
      <c r="O68" s="16"/>
      <c r="P68" s="16"/>
    </row>
    <row r="69" spans="1:16" x14ac:dyDescent="0.25">
      <c r="A69" s="17" t="s">
        <v>1194</v>
      </c>
      <c r="B69" s="17" t="s">
        <v>1195</v>
      </c>
      <c r="C69" s="16" t="s">
        <v>495</v>
      </c>
      <c r="D69" s="16"/>
      <c r="E69" s="16"/>
      <c r="F69" s="16"/>
      <c r="G69" s="16"/>
      <c r="H69" s="16" t="s">
        <v>3960</v>
      </c>
      <c r="I69" s="16"/>
      <c r="J69" s="16"/>
      <c r="K69" s="16"/>
      <c r="L69" s="16"/>
      <c r="M69" s="16"/>
      <c r="N69" s="16"/>
      <c r="O69" s="16"/>
      <c r="P69" s="16"/>
    </row>
    <row r="70" spans="1:16" x14ac:dyDescent="0.25">
      <c r="A70" s="17" t="s">
        <v>1204</v>
      </c>
      <c r="B70" s="17" t="s">
        <v>1205</v>
      </c>
      <c r="C70" s="16" t="s">
        <v>495</v>
      </c>
      <c r="D70" s="16"/>
      <c r="E70" s="16"/>
      <c r="F70" s="16"/>
      <c r="G70" s="16"/>
      <c r="H70" s="16" t="s">
        <v>3960</v>
      </c>
      <c r="I70" s="16"/>
      <c r="J70" s="16"/>
      <c r="K70" s="16"/>
      <c r="L70" s="16"/>
      <c r="M70" s="16"/>
      <c r="N70" s="16"/>
      <c r="O70" s="16"/>
      <c r="P70" s="16"/>
    </row>
    <row r="71" spans="1:16" x14ac:dyDescent="0.25">
      <c r="A71" s="17" t="s">
        <v>1212</v>
      </c>
      <c r="B71" s="17" t="s">
        <v>1213</v>
      </c>
      <c r="C71" s="16" t="s">
        <v>619</v>
      </c>
      <c r="D71" s="16"/>
      <c r="E71" s="16"/>
      <c r="F71" s="16"/>
      <c r="G71" s="16"/>
      <c r="H71" s="16" t="s">
        <v>3960</v>
      </c>
      <c r="I71" s="16" t="s">
        <v>3960</v>
      </c>
      <c r="J71" s="16"/>
      <c r="K71" s="16"/>
      <c r="L71" s="16"/>
      <c r="M71" s="16"/>
      <c r="N71" s="16"/>
      <c r="O71" s="16"/>
      <c r="P71" s="16"/>
    </row>
    <row r="72" spans="1:16" x14ac:dyDescent="0.25">
      <c r="A72" s="17" t="s">
        <v>1224</v>
      </c>
      <c r="B72" s="17" t="s">
        <v>1225</v>
      </c>
      <c r="C72" s="16" t="s">
        <v>495</v>
      </c>
      <c r="D72" s="16"/>
      <c r="E72" s="16"/>
      <c r="F72" s="16"/>
      <c r="G72" s="16"/>
      <c r="H72" s="16" t="s">
        <v>3960</v>
      </c>
      <c r="I72" s="16"/>
      <c r="J72" s="16"/>
      <c r="K72" s="16"/>
      <c r="L72" s="16"/>
      <c r="M72" s="16"/>
      <c r="N72" s="16"/>
      <c r="O72" s="16"/>
      <c r="P72" s="16"/>
    </row>
    <row r="73" spans="1:16" x14ac:dyDescent="0.25">
      <c r="A73" s="17" t="s">
        <v>1234</v>
      </c>
      <c r="B73" s="17" t="s">
        <v>1235</v>
      </c>
      <c r="C73" s="16" t="s">
        <v>495</v>
      </c>
      <c r="D73" s="16"/>
      <c r="E73" s="16"/>
      <c r="F73" s="16"/>
      <c r="G73" s="16"/>
      <c r="H73" s="16" t="s">
        <v>3960</v>
      </c>
      <c r="I73" s="16"/>
      <c r="J73" s="16"/>
      <c r="K73" s="16"/>
      <c r="L73" s="16"/>
      <c r="M73" s="16"/>
      <c r="N73" s="16"/>
      <c r="O73" s="16"/>
      <c r="P73" s="16"/>
    </row>
    <row r="74" spans="1:16" x14ac:dyDescent="0.25">
      <c r="A74" s="17" t="s">
        <v>1246</v>
      </c>
      <c r="B74" s="17" t="s">
        <v>1247</v>
      </c>
      <c r="C74" s="16" t="s">
        <v>619</v>
      </c>
      <c r="D74" s="16"/>
      <c r="E74" s="16"/>
      <c r="F74" s="16"/>
      <c r="G74" s="16"/>
      <c r="H74" s="16" t="s">
        <v>3960</v>
      </c>
      <c r="I74" s="16"/>
      <c r="J74" s="16"/>
      <c r="K74" s="16"/>
      <c r="L74" s="16"/>
      <c r="M74" s="16"/>
      <c r="N74" s="16"/>
      <c r="O74" s="16"/>
      <c r="P74" s="16"/>
    </row>
    <row r="75" spans="1:16" x14ac:dyDescent="0.25">
      <c r="A75" s="17" t="s">
        <v>1258</v>
      </c>
      <c r="B75" s="17" t="s">
        <v>1259</v>
      </c>
      <c r="C75" s="16" t="s">
        <v>495</v>
      </c>
      <c r="D75" s="16"/>
      <c r="E75" s="16"/>
      <c r="F75" s="16"/>
      <c r="G75" s="16"/>
      <c r="H75" s="16" t="s">
        <v>3960</v>
      </c>
      <c r="I75" s="16"/>
      <c r="J75" s="16"/>
      <c r="K75" s="16"/>
      <c r="L75" s="16"/>
      <c r="M75" s="16"/>
      <c r="N75" s="16"/>
      <c r="O75" s="16"/>
      <c r="P75" s="16" t="s">
        <v>3960</v>
      </c>
    </row>
    <row r="76" spans="1:16" x14ac:dyDescent="0.25">
      <c r="A76" s="17" t="s">
        <v>1270</v>
      </c>
      <c r="B76" s="17" t="s">
        <v>1271</v>
      </c>
      <c r="C76" s="16" t="s">
        <v>495</v>
      </c>
      <c r="D76" s="16" t="s">
        <v>3960</v>
      </c>
      <c r="E76" s="16"/>
      <c r="F76" s="16"/>
      <c r="G76" s="16"/>
      <c r="H76" s="16" t="s">
        <v>3960</v>
      </c>
      <c r="I76" s="16"/>
      <c r="J76" s="16"/>
      <c r="K76" s="16"/>
      <c r="L76" s="16"/>
      <c r="M76" s="16"/>
      <c r="N76" s="16"/>
      <c r="O76" s="16"/>
      <c r="P76" s="16"/>
    </row>
    <row r="77" spans="1:16" x14ac:dyDescent="0.25">
      <c r="A77" s="17" t="s">
        <v>1282</v>
      </c>
      <c r="B77" s="17" t="s">
        <v>1284</v>
      </c>
      <c r="C77" s="16" t="s">
        <v>495</v>
      </c>
      <c r="D77" s="16"/>
      <c r="E77" s="16"/>
      <c r="F77" s="16"/>
      <c r="G77" s="16"/>
      <c r="H77" s="16"/>
      <c r="I77" s="16" t="s">
        <v>3960</v>
      </c>
      <c r="J77" s="16"/>
      <c r="K77" s="16"/>
      <c r="L77" s="16"/>
      <c r="M77" s="16"/>
      <c r="N77" s="16"/>
      <c r="O77" s="16"/>
      <c r="P77" s="16"/>
    </row>
    <row r="78" spans="1:16" x14ac:dyDescent="0.25">
      <c r="A78" s="17" t="s">
        <v>1292</v>
      </c>
      <c r="B78" s="17" t="s">
        <v>1293</v>
      </c>
      <c r="C78" s="16" t="s">
        <v>495</v>
      </c>
      <c r="D78" s="16"/>
      <c r="E78" s="16"/>
      <c r="F78" s="16"/>
      <c r="G78" s="16"/>
      <c r="H78" s="16"/>
      <c r="I78" s="16" t="s">
        <v>3960</v>
      </c>
      <c r="J78" s="16"/>
      <c r="K78" s="16"/>
      <c r="L78" s="16"/>
      <c r="M78" s="16"/>
      <c r="N78" s="16"/>
      <c r="O78" s="16"/>
      <c r="P78" s="16"/>
    </row>
    <row r="79" spans="1:16" x14ac:dyDescent="0.25">
      <c r="A79" s="17" t="s">
        <v>1302</v>
      </c>
      <c r="B79" s="17" t="s">
        <v>1303</v>
      </c>
      <c r="C79" s="16" t="s">
        <v>495</v>
      </c>
      <c r="D79" s="16"/>
      <c r="E79" s="16"/>
      <c r="F79" s="16"/>
      <c r="G79" s="16"/>
      <c r="H79" s="16"/>
      <c r="I79" s="16" t="s">
        <v>3960</v>
      </c>
      <c r="J79" s="16"/>
      <c r="K79" s="16"/>
      <c r="L79" s="16"/>
      <c r="M79" s="16"/>
      <c r="N79" s="16"/>
      <c r="O79" s="16"/>
      <c r="P79" s="16"/>
    </row>
    <row r="80" spans="1:16" x14ac:dyDescent="0.25">
      <c r="A80" s="17" t="s">
        <v>1312</v>
      </c>
      <c r="B80" s="17" t="s">
        <v>1313</v>
      </c>
      <c r="C80" s="16" t="s">
        <v>495</v>
      </c>
      <c r="D80" s="16"/>
      <c r="E80" s="16"/>
      <c r="F80" s="16"/>
      <c r="G80" s="16"/>
      <c r="H80" s="16"/>
      <c r="I80" s="16" t="s">
        <v>3960</v>
      </c>
      <c r="J80" s="16"/>
      <c r="K80" s="16"/>
      <c r="L80" s="16"/>
      <c r="M80" s="16"/>
      <c r="N80" s="16" t="s">
        <v>3960</v>
      </c>
      <c r="O80" s="16"/>
      <c r="P80" s="16"/>
    </row>
    <row r="81" spans="1:16" x14ac:dyDescent="0.25">
      <c r="A81" s="17" t="s">
        <v>1323</v>
      </c>
      <c r="B81" s="17" t="s">
        <v>1324</v>
      </c>
      <c r="C81" s="16" t="s">
        <v>619</v>
      </c>
      <c r="D81" s="16"/>
      <c r="E81" s="16"/>
      <c r="F81" s="16"/>
      <c r="G81" s="16"/>
      <c r="H81" s="16"/>
      <c r="I81" s="16" t="s">
        <v>3960</v>
      </c>
      <c r="J81" s="16"/>
      <c r="K81" s="16"/>
      <c r="L81" s="16"/>
      <c r="M81" s="16"/>
      <c r="N81" s="16"/>
      <c r="O81" s="16"/>
      <c r="P81" s="16"/>
    </row>
    <row r="82" spans="1:16" x14ac:dyDescent="0.25">
      <c r="A82" s="17" t="s">
        <v>1333</v>
      </c>
      <c r="B82" s="17" t="s">
        <v>1334</v>
      </c>
      <c r="C82" s="16" t="s">
        <v>495</v>
      </c>
      <c r="D82" s="16"/>
      <c r="E82" s="16"/>
      <c r="F82" s="16"/>
      <c r="G82" s="16"/>
      <c r="H82" s="16"/>
      <c r="I82" s="16" t="s">
        <v>3960</v>
      </c>
      <c r="J82" s="16"/>
      <c r="K82" s="16"/>
      <c r="L82" s="16"/>
      <c r="M82" s="16"/>
      <c r="N82" s="16"/>
      <c r="O82" s="16"/>
      <c r="P82" s="16"/>
    </row>
    <row r="83" spans="1:16" x14ac:dyDescent="0.25">
      <c r="A83" s="17" t="s">
        <v>1344</v>
      </c>
      <c r="B83" s="17" t="s">
        <v>1346</v>
      </c>
      <c r="C83" s="16" t="s">
        <v>495</v>
      </c>
      <c r="D83" s="16"/>
      <c r="E83" s="16"/>
      <c r="F83" s="16"/>
      <c r="G83" s="16"/>
      <c r="H83" s="16"/>
      <c r="I83" s="16"/>
      <c r="J83" s="16" t="s">
        <v>3960</v>
      </c>
      <c r="K83" s="16"/>
      <c r="L83" s="16"/>
      <c r="M83" s="16"/>
      <c r="N83" s="16" t="s">
        <v>3960</v>
      </c>
      <c r="O83" s="16"/>
      <c r="P83" s="16"/>
    </row>
    <row r="84" spans="1:16" x14ac:dyDescent="0.25">
      <c r="A84" s="17" t="s">
        <v>1357</v>
      </c>
      <c r="B84" s="17" t="s">
        <v>1358</v>
      </c>
      <c r="C84" s="16" t="s">
        <v>619</v>
      </c>
      <c r="D84" s="16"/>
      <c r="E84" s="16"/>
      <c r="F84" s="16"/>
      <c r="G84" s="16"/>
      <c r="H84" s="16"/>
      <c r="I84" s="16"/>
      <c r="J84" s="16"/>
      <c r="K84" s="16"/>
      <c r="L84" s="16"/>
      <c r="M84" s="16"/>
      <c r="N84" s="16" t="s">
        <v>3960</v>
      </c>
      <c r="O84" s="16"/>
      <c r="P84" s="16"/>
    </row>
    <row r="85" spans="1:16" x14ac:dyDescent="0.25">
      <c r="A85" s="17" t="s">
        <v>1367</v>
      </c>
      <c r="B85" s="17" t="s">
        <v>1368</v>
      </c>
      <c r="C85" s="16" t="s">
        <v>495</v>
      </c>
      <c r="D85" s="16"/>
      <c r="E85" s="16"/>
      <c r="F85" s="16"/>
      <c r="G85" s="16"/>
      <c r="H85" s="16"/>
      <c r="I85" s="16"/>
      <c r="J85" s="16"/>
      <c r="K85" s="16"/>
      <c r="L85" s="16"/>
      <c r="M85" s="16"/>
      <c r="N85" s="16" t="s">
        <v>3960</v>
      </c>
      <c r="O85" s="16"/>
      <c r="P85" s="16"/>
    </row>
    <row r="86" spans="1:16" x14ac:dyDescent="0.25">
      <c r="A86" s="17" t="s">
        <v>1378</v>
      </c>
      <c r="B86" s="17" t="s">
        <v>1379</v>
      </c>
      <c r="C86" s="16" t="s">
        <v>619</v>
      </c>
      <c r="D86" s="16"/>
      <c r="E86" s="16"/>
      <c r="F86" s="16"/>
      <c r="G86" s="16" t="s">
        <v>3960</v>
      </c>
      <c r="H86" s="16"/>
      <c r="I86" s="16"/>
      <c r="J86" s="16"/>
      <c r="K86" s="16"/>
      <c r="L86" s="16"/>
      <c r="M86" s="16"/>
      <c r="N86" s="16" t="s">
        <v>3960</v>
      </c>
      <c r="O86" s="16"/>
      <c r="P86" s="16"/>
    </row>
    <row r="87" spans="1:16" x14ac:dyDescent="0.25">
      <c r="A87" s="17" t="s">
        <v>1389</v>
      </c>
      <c r="B87" s="17" t="s">
        <v>1391</v>
      </c>
      <c r="C87" s="16" t="s">
        <v>495</v>
      </c>
      <c r="D87" s="16"/>
      <c r="E87" s="16"/>
      <c r="F87" s="16"/>
      <c r="G87" s="16"/>
      <c r="H87" s="16"/>
      <c r="I87" s="16"/>
      <c r="J87" s="16"/>
      <c r="K87" s="16"/>
      <c r="L87" s="16"/>
      <c r="M87" s="16"/>
      <c r="N87" s="16" t="s">
        <v>3960</v>
      </c>
      <c r="O87" s="16"/>
      <c r="P87" s="16"/>
    </row>
    <row r="88" spans="1:16" x14ac:dyDescent="0.25">
      <c r="A88" s="17" t="s">
        <v>1400</v>
      </c>
      <c r="B88" s="17" t="s">
        <v>1401</v>
      </c>
      <c r="C88" s="16" t="s">
        <v>495</v>
      </c>
      <c r="D88" s="16"/>
      <c r="E88" s="16"/>
      <c r="F88" s="16"/>
      <c r="G88" s="16"/>
      <c r="H88" s="16"/>
      <c r="I88" s="16"/>
      <c r="J88" s="16"/>
      <c r="K88" s="16"/>
      <c r="L88" s="16"/>
      <c r="M88" s="16"/>
      <c r="N88" s="16" t="s">
        <v>3960</v>
      </c>
      <c r="O88" s="16"/>
      <c r="P88" s="16"/>
    </row>
    <row r="89" spans="1:16" x14ac:dyDescent="0.25">
      <c r="A89" s="17" t="s">
        <v>1409</v>
      </c>
      <c r="B89" s="17" t="s">
        <v>1410</v>
      </c>
      <c r="C89" s="16" t="s">
        <v>495</v>
      </c>
      <c r="D89" s="16"/>
      <c r="E89" s="16"/>
      <c r="F89" s="16"/>
      <c r="G89" s="16"/>
      <c r="H89" s="16"/>
      <c r="I89" s="16"/>
      <c r="J89" s="16"/>
      <c r="K89" s="16"/>
      <c r="L89" s="16"/>
      <c r="M89" s="16"/>
      <c r="N89" s="16" t="s">
        <v>3960</v>
      </c>
      <c r="O89" s="16"/>
      <c r="P89" s="16"/>
    </row>
    <row r="90" spans="1:16" x14ac:dyDescent="0.25">
      <c r="A90" s="17" t="s">
        <v>1418</v>
      </c>
      <c r="B90" s="17" t="s">
        <v>1419</v>
      </c>
      <c r="C90" s="16" t="s">
        <v>619</v>
      </c>
      <c r="D90" s="16"/>
      <c r="E90" s="16"/>
      <c r="F90" s="16"/>
      <c r="G90" s="16"/>
      <c r="H90" s="16"/>
      <c r="I90" s="16"/>
      <c r="J90" s="16"/>
      <c r="K90" s="16"/>
      <c r="L90" s="16" t="s">
        <v>3960</v>
      </c>
      <c r="M90" s="16"/>
      <c r="N90" s="16" t="s">
        <v>3960</v>
      </c>
      <c r="O90" s="16"/>
      <c r="P90" s="16"/>
    </row>
    <row r="91" spans="1:16" x14ac:dyDescent="0.25">
      <c r="A91" s="17" t="s">
        <v>1430</v>
      </c>
      <c r="B91" s="17" t="s">
        <v>1431</v>
      </c>
      <c r="C91" s="16" t="s">
        <v>495</v>
      </c>
      <c r="D91" s="16"/>
      <c r="E91" s="16"/>
      <c r="F91" s="16"/>
      <c r="G91" s="16"/>
      <c r="H91" s="16"/>
      <c r="I91" s="16"/>
      <c r="J91" s="16"/>
      <c r="K91" s="16"/>
      <c r="L91" s="16"/>
      <c r="M91" s="16"/>
      <c r="N91" s="16" t="s">
        <v>3960</v>
      </c>
      <c r="O91" s="16"/>
      <c r="P91" s="16"/>
    </row>
    <row r="92" spans="1:16" x14ac:dyDescent="0.25">
      <c r="A92" s="17" t="s">
        <v>1442</v>
      </c>
      <c r="B92" s="17" t="s">
        <v>1443</v>
      </c>
      <c r="C92" s="16" t="s">
        <v>495</v>
      </c>
      <c r="D92" s="16"/>
      <c r="E92" s="16"/>
      <c r="F92" s="16"/>
      <c r="G92" s="16"/>
      <c r="H92" s="16"/>
      <c r="I92" s="16"/>
      <c r="J92" s="16"/>
      <c r="K92" s="16"/>
      <c r="L92" s="16"/>
      <c r="M92" s="16"/>
      <c r="N92" s="16" t="s">
        <v>3960</v>
      </c>
      <c r="O92" s="16"/>
      <c r="P92" s="16"/>
    </row>
    <row r="93" spans="1:16" x14ac:dyDescent="0.25">
      <c r="A93" s="17" t="s">
        <v>1451</v>
      </c>
      <c r="B93" s="17" t="s">
        <v>1452</v>
      </c>
      <c r="C93" s="16" t="s">
        <v>495</v>
      </c>
      <c r="D93" s="16"/>
      <c r="E93" s="16"/>
      <c r="F93" s="16"/>
      <c r="G93" s="16"/>
      <c r="H93" s="16"/>
      <c r="I93" s="16"/>
      <c r="J93" s="16"/>
      <c r="K93" s="16"/>
      <c r="L93" s="16"/>
      <c r="M93" s="16"/>
      <c r="N93" s="16" t="s">
        <v>3960</v>
      </c>
      <c r="O93" s="16"/>
      <c r="P93" s="16"/>
    </row>
    <row r="94" spans="1:16" x14ac:dyDescent="0.25">
      <c r="A94" s="17" t="s">
        <v>1462</v>
      </c>
      <c r="B94" s="17" t="s">
        <v>1463</v>
      </c>
      <c r="C94" s="16" t="s">
        <v>495</v>
      </c>
      <c r="D94" s="16"/>
      <c r="E94" s="16"/>
      <c r="F94" s="16"/>
      <c r="G94" s="16"/>
      <c r="H94" s="16"/>
      <c r="I94" s="16"/>
      <c r="J94" s="16"/>
      <c r="K94" s="16"/>
      <c r="L94" s="16"/>
      <c r="M94" s="16"/>
      <c r="N94" s="16" t="s">
        <v>3960</v>
      </c>
      <c r="O94" s="16"/>
      <c r="P94" s="16"/>
    </row>
    <row r="95" spans="1:16" x14ac:dyDescent="0.25">
      <c r="A95" s="17" t="s">
        <v>1472</v>
      </c>
      <c r="B95" s="17" t="s">
        <v>1474</v>
      </c>
      <c r="C95" s="16" t="s">
        <v>495</v>
      </c>
      <c r="D95" s="16"/>
      <c r="E95" s="16"/>
      <c r="F95" s="16"/>
      <c r="G95" s="16"/>
      <c r="H95" s="16"/>
      <c r="I95" s="16"/>
      <c r="J95" s="16"/>
      <c r="K95" s="16"/>
      <c r="L95" s="16"/>
      <c r="M95" s="16"/>
      <c r="N95" s="16"/>
      <c r="O95" s="16" t="s">
        <v>3960</v>
      </c>
      <c r="P95" s="16"/>
    </row>
    <row r="96" spans="1:16" x14ac:dyDescent="0.25">
      <c r="A96" s="17" t="s">
        <v>1483</v>
      </c>
      <c r="B96" s="17" t="s">
        <v>1484</v>
      </c>
      <c r="C96" s="16" t="s">
        <v>495</v>
      </c>
      <c r="D96" s="16"/>
      <c r="E96" s="16"/>
      <c r="F96" s="16"/>
      <c r="G96" s="16"/>
      <c r="H96" s="16"/>
      <c r="I96" s="16"/>
      <c r="J96" s="16"/>
      <c r="K96" s="16"/>
      <c r="L96" s="16" t="s">
        <v>3960</v>
      </c>
      <c r="M96" s="16"/>
      <c r="N96" s="16"/>
      <c r="O96" s="16" t="s">
        <v>3960</v>
      </c>
      <c r="P96" s="16"/>
    </row>
    <row r="97" spans="1:16" x14ac:dyDescent="0.25">
      <c r="A97" s="17" t="s">
        <v>1495</v>
      </c>
      <c r="B97" s="17" t="s">
        <v>1496</v>
      </c>
      <c r="C97" s="16" t="s">
        <v>619</v>
      </c>
      <c r="D97" s="16"/>
      <c r="E97" s="16"/>
      <c r="F97" s="16"/>
      <c r="G97" s="16"/>
      <c r="H97" s="16"/>
      <c r="I97" s="16"/>
      <c r="J97" s="16"/>
      <c r="K97" s="16"/>
      <c r="L97" s="16"/>
      <c r="M97" s="16"/>
      <c r="N97" s="16"/>
      <c r="O97" s="16" t="s">
        <v>3960</v>
      </c>
      <c r="P97" s="16"/>
    </row>
    <row r="98" spans="1:16" x14ac:dyDescent="0.25">
      <c r="A98" s="17" t="s">
        <v>1505</v>
      </c>
      <c r="B98" s="17" t="s">
        <v>1506</v>
      </c>
      <c r="C98" s="16" t="s">
        <v>495</v>
      </c>
      <c r="D98" s="16"/>
      <c r="E98" s="16"/>
      <c r="F98" s="16"/>
      <c r="G98" s="16"/>
      <c r="H98" s="16"/>
      <c r="I98" s="16"/>
      <c r="J98" s="16"/>
      <c r="K98" s="16"/>
      <c r="L98" s="16" t="s">
        <v>3960</v>
      </c>
      <c r="M98" s="16"/>
      <c r="N98" s="16"/>
      <c r="O98" s="16" t="s">
        <v>3960</v>
      </c>
      <c r="P98" s="16"/>
    </row>
    <row r="99" spans="1:16" x14ac:dyDescent="0.25">
      <c r="A99" s="17" t="s">
        <v>1516</v>
      </c>
      <c r="B99" s="17" t="s">
        <v>1518</v>
      </c>
      <c r="C99" s="16" t="s">
        <v>495</v>
      </c>
      <c r="D99" s="16"/>
      <c r="E99" s="16"/>
      <c r="F99" s="16"/>
      <c r="G99" s="16"/>
      <c r="H99" s="16"/>
      <c r="I99" s="16"/>
      <c r="J99" s="16"/>
      <c r="K99" s="16"/>
      <c r="L99" s="16"/>
      <c r="M99" s="16"/>
      <c r="N99" s="16"/>
      <c r="O99" s="16"/>
      <c r="P99" s="16" t="s">
        <v>3960</v>
      </c>
    </row>
    <row r="100" spans="1:16" x14ac:dyDescent="0.25">
      <c r="A100" s="17" t="s">
        <v>1527</v>
      </c>
      <c r="B100" s="17" t="s">
        <v>1528</v>
      </c>
      <c r="C100" s="16" t="s">
        <v>495</v>
      </c>
      <c r="D100" s="16"/>
      <c r="E100" s="16"/>
      <c r="F100" s="16"/>
      <c r="G100" s="16"/>
      <c r="H100" s="16"/>
      <c r="I100" s="16"/>
      <c r="J100" s="16"/>
      <c r="K100" s="16"/>
      <c r="L100" s="16"/>
      <c r="M100" s="16"/>
      <c r="N100" s="16"/>
      <c r="O100" s="16"/>
      <c r="P100" s="16" t="s">
        <v>3960</v>
      </c>
    </row>
    <row r="101" spans="1:16" x14ac:dyDescent="0.25">
      <c r="A101" s="17" t="s">
        <v>1538</v>
      </c>
      <c r="B101" s="17" t="s">
        <v>1539</v>
      </c>
      <c r="C101" s="16" t="s">
        <v>619</v>
      </c>
      <c r="D101" s="16"/>
      <c r="E101" s="16"/>
      <c r="F101" s="16"/>
      <c r="G101" s="16"/>
      <c r="H101" s="16"/>
      <c r="I101" s="16" t="s">
        <v>3960</v>
      </c>
      <c r="J101" s="16"/>
      <c r="K101" s="16"/>
      <c r="L101" s="16"/>
      <c r="M101" s="16"/>
      <c r="N101" s="16"/>
      <c r="O101" s="16"/>
      <c r="P101" s="16" t="s">
        <v>3960</v>
      </c>
    </row>
    <row r="102" spans="1:16" x14ac:dyDescent="0.25">
      <c r="A102" s="17" t="s">
        <v>1549</v>
      </c>
      <c r="B102" s="17" t="s">
        <v>1550</v>
      </c>
      <c r="C102" s="16" t="s">
        <v>619</v>
      </c>
      <c r="D102" s="16"/>
      <c r="E102" s="16"/>
      <c r="F102" s="16"/>
      <c r="G102" s="16"/>
      <c r="H102" s="16"/>
      <c r="I102" s="16"/>
      <c r="J102" s="16"/>
      <c r="K102" s="16"/>
      <c r="L102" s="16"/>
      <c r="M102" s="16"/>
      <c r="N102" s="16"/>
      <c r="O102" s="16"/>
      <c r="P102" s="16" t="s">
        <v>3960</v>
      </c>
    </row>
    <row r="103" spans="1:16" x14ac:dyDescent="0.25">
      <c r="A103" s="17" t="s">
        <v>1559</v>
      </c>
      <c r="B103" s="17" t="s">
        <v>1561</v>
      </c>
      <c r="C103" s="16" t="s">
        <v>495</v>
      </c>
      <c r="D103" s="16"/>
      <c r="E103" s="16"/>
      <c r="F103" s="16"/>
      <c r="G103" s="16"/>
      <c r="H103" s="16"/>
      <c r="I103" s="16"/>
      <c r="J103" s="16"/>
      <c r="K103" s="16"/>
      <c r="L103" s="16"/>
      <c r="M103" s="16"/>
      <c r="N103" s="16"/>
      <c r="O103" s="16" t="s">
        <v>3960</v>
      </c>
      <c r="P103" s="16" t="s">
        <v>3960</v>
      </c>
    </row>
    <row r="104" spans="1:16" x14ac:dyDescent="0.25">
      <c r="A104" s="17" t="s">
        <v>1573</v>
      </c>
      <c r="B104" s="17" t="s">
        <v>1574</v>
      </c>
      <c r="C104" s="16" t="s">
        <v>495</v>
      </c>
      <c r="D104" s="16"/>
      <c r="E104" s="16"/>
      <c r="F104" s="16"/>
      <c r="G104" s="16"/>
      <c r="H104" s="16"/>
      <c r="I104" s="16"/>
      <c r="J104" s="16"/>
      <c r="K104" s="16"/>
      <c r="L104" s="16"/>
      <c r="M104" s="16"/>
      <c r="N104" s="16" t="s">
        <v>3960</v>
      </c>
      <c r="O104" s="16"/>
      <c r="P104" s="16" t="s">
        <v>3960</v>
      </c>
    </row>
    <row r="105" spans="1:16" x14ac:dyDescent="0.25">
      <c r="A105" s="17" t="s">
        <v>1584</v>
      </c>
      <c r="B105" s="17" t="s">
        <v>1585</v>
      </c>
      <c r="C105" s="16" t="s">
        <v>619</v>
      </c>
      <c r="D105" s="16"/>
      <c r="E105" s="16"/>
      <c r="F105" s="16"/>
      <c r="G105" s="16"/>
      <c r="H105" s="16"/>
      <c r="I105" s="16"/>
      <c r="J105" s="16"/>
      <c r="K105" s="16"/>
      <c r="L105" s="16"/>
      <c r="M105" s="16" t="s">
        <v>3960</v>
      </c>
      <c r="N105" s="16"/>
      <c r="O105" s="16"/>
      <c r="P105" s="16" t="s">
        <v>3960</v>
      </c>
    </row>
    <row r="106" spans="1:16" x14ac:dyDescent="0.25">
      <c r="A106" s="17" t="s">
        <v>1597</v>
      </c>
      <c r="B106" s="17" t="s">
        <v>1598</v>
      </c>
      <c r="C106" s="16" t="s">
        <v>619</v>
      </c>
      <c r="D106" s="16"/>
      <c r="E106" s="16"/>
      <c r="F106" s="16"/>
      <c r="G106" s="16"/>
      <c r="H106" s="16"/>
      <c r="I106" s="16"/>
      <c r="J106" s="16" t="s">
        <v>3960</v>
      </c>
      <c r="K106" s="16"/>
      <c r="L106" s="16"/>
      <c r="M106" s="16"/>
      <c r="N106" s="16"/>
      <c r="O106" s="16"/>
      <c r="P106" s="16" t="s">
        <v>3960</v>
      </c>
    </row>
    <row r="107" spans="1:16" x14ac:dyDescent="0.25">
      <c r="A107" s="17" t="s">
        <v>1610</v>
      </c>
      <c r="B107" s="17" t="s">
        <v>1611</v>
      </c>
      <c r="C107" s="16" t="s">
        <v>495</v>
      </c>
      <c r="D107" s="16" t="s">
        <v>3960</v>
      </c>
      <c r="E107" s="16"/>
      <c r="F107" s="16"/>
      <c r="G107" s="16"/>
      <c r="H107" s="16"/>
      <c r="I107" s="16"/>
      <c r="J107" s="16"/>
      <c r="K107" s="16"/>
      <c r="L107" s="16"/>
      <c r="M107" s="16"/>
      <c r="N107" s="16"/>
      <c r="O107" s="16"/>
      <c r="P107" s="16" t="s">
        <v>3960</v>
      </c>
    </row>
    <row r="108" spans="1:16" x14ac:dyDescent="0.25">
      <c r="A108" s="17" t="s">
        <v>1621</v>
      </c>
      <c r="B108" s="17" t="s">
        <v>1622</v>
      </c>
      <c r="C108" s="16" t="s">
        <v>619</v>
      </c>
      <c r="D108" s="16"/>
      <c r="E108" s="16"/>
      <c r="F108" s="16"/>
      <c r="G108" s="16"/>
      <c r="H108" s="16"/>
      <c r="I108" s="16" t="s">
        <v>3960</v>
      </c>
      <c r="J108" s="16"/>
      <c r="K108" s="16"/>
      <c r="L108" s="16"/>
      <c r="M108" s="16"/>
      <c r="N108" s="16"/>
      <c r="O108" s="16"/>
      <c r="P108" s="16" t="s">
        <v>3960</v>
      </c>
    </row>
    <row r="109" spans="1:16" x14ac:dyDescent="0.25">
      <c r="A109" s="17" t="s">
        <v>1634</v>
      </c>
      <c r="B109" s="17" t="s">
        <v>1636</v>
      </c>
      <c r="C109" s="16" t="s">
        <v>495</v>
      </c>
      <c r="D109" s="16"/>
      <c r="E109" s="16"/>
      <c r="F109" s="16"/>
      <c r="G109" s="16"/>
      <c r="H109" s="16"/>
      <c r="I109" s="16"/>
      <c r="J109" s="16"/>
      <c r="K109" s="16"/>
      <c r="L109" s="16" t="s">
        <v>3960</v>
      </c>
      <c r="M109" s="16"/>
      <c r="N109" s="16"/>
      <c r="O109" s="16"/>
      <c r="P109" s="16"/>
    </row>
    <row r="110" spans="1:16" x14ac:dyDescent="0.25">
      <c r="A110" s="17" t="s">
        <v>1644</v>
      </c>
      <c r="B110" s="17" t="s">
        <v>1645</v>
      </c>
      <c r="C110" s="16" t="s">
        <v>495</v>
      </c>
      <c r="D110" s="16"/>
      <c r="E110" s="16"/>
      <c r="F110" s="16"/>
      <c r="G110" s="16"/>
      <c r="H110" s="16"/>
      <c r="I110" s="16"/>
      <c r="J110" s="16"/>
      <c r="K110" s="16"/>
      <c r="L110" s="16" t="s">
        <v>3960</v>
      </c>
      <c r="M110" s="16"/>
      <c r="N110" s="16"/>
      <c r="O110" s="16"/>
      <c r="P110" s="16"/>
    </row>
    <row r="111" spans="1:16" x14ac:dyDescent="0.25">
      <c r="A111" s="17" t="s">
        <v>1654</v>
      </c>
      <c r="B111" s="17" t="s">
        <v>1655</v>
      </c>
      <c r="C111" s="16" t="s">
        <v>495</v>
      </c>
      <c r="D111" s="16"/>
      <c r="E111" s="16"/>
      <c r="F111" s="16"/>
      <c r="G111" s="16"/>
      <c r="H111" s="16"/>
      <c r="I111" s="16"/>
      <c r="J111" s="16"/>
      <c r="K111" s="16" t="s">
        <v>3960</v>
      </c>
      <c r="L111" s="16" t="s">
        <v>3960</v>
      </c>
      <c r="M111" s="16"/>
      <c r="N111" s="16"/>
      <c r="O111" s="16"/>
      <c r="P111" s="16"/>
    </row>
    <row r="112" spans="1:16" x14ac:dyDescent="0.25">
      <c r="A112" s="17" t="s">
        <v>1664</v>
      </c>
      <c r="B112" s="17" t="s">
        <v>1665</v>
      </c>
      <c r="C112" s="16" t="s">
        <v>495</v>
      </c>
      <c r="D112" s="16"/>
      <c r="E112" s="16"/>
      <c r="F112" s="16"/>
      <c r="G112" s="16"/>
      <c r="H112" s="16"/>
      <c r="I112" s="16"/>
      <c r="J112" s="16"/>
      <c r="K112" s="16"/>
      <c r="L112" s="16" t="s">
        <v>3960</v>
      </c>
      <c r="M112" s="16"/>
      <c r="N112" s="16"/>
      <c r="O112" s="16"/>
      <c r="P112" s="16"/>
    </row>
    <row r="113" spans="1:16" x14ac:dyDescent="0.25">
      <c r="A113" s="17" t="s">
        <v>1674</v>
      </c>
      <c r="B113" s="17" t="s">
        <v>1675</v>
      </c>
      <c r="C113" s="16" t="s">
        <v>619</v>
      </c>
      <c r="D113" s="16"/>
      <c r="E113" s="16"/>
      <c r="F113" s="16"/>
      <c r="G113" s="16"/>
      <c r="H113" s="16"/>
      <c r="I113" s="16"/>
      <c r="J113" s="16"/>
      <c r="K113" s="16"/>
      <c r="L113" s="16" t="s">
        <v>3960</v>
      </c>
      <c r="M113" s="16"/>
      <c r="N113" s="16"/>
      <c r="O113" s="16"/>
      <c r="P113" s="16"/>
    </row>
    <row r="114" spans="1:16" x14ac:dyDescent="0.25">
      <c r="A114" s="17" t="s">
        <v>1684</v>
      </c>
      <c r="B114" s="17" t="s">
        <v>1686</v>
      </c>
      <c r="C114" s="16" t="s">
        <v>495</v>
      </c>
      <c r="D114" s="16"/>
      <c r="E114" s="16"/>
      <c r="F114" s="16"/>
      <c r="G114" s="16"/>
      <c r="H114" s="16"/>
      <c r="I114" s="16"/>
      <c r="J114" s="16"/>
      <c r="K114" s="16" t="s">
        <v>3960</v>
      </c>
      <c r="L114" s="16"/>
      <c r="M114" s="16"/>
      <c r="N114" s="16"/>
      <c r="O114" s="16"/>
      <c r="P114" s="16"/>
    </row>
    <row r="115" spans="1:16" x14ac:dyDescent="0.25">
      <c r="A115" s="17" t="s">
        <v>1697</v>
      </c>
      <c r="B115" s="17" t="s">
        <v>1698</v>
      </c>
      <c r="C115" s="16" t="s">
        <v>495</v>
      </c>
      <c r="D115" s="16"/>
      <c r="E115" s="16"/>
      <c r="F115" s="16"/>
      <c r="G115" s="16"/>
      <c r="H115" s="16"/>
      <c r="I115" s="16"/>
      <c r="J115" s="16"/>
      <c r="K115" s="16" t="s">
        <v>3960</v>
      </c>
      <c r="L115" s="16" t="s">
        <v>3960</v>
      </c>
      <c r="M115" s="16"/>
      <c r="N115" s="16"/>
      <c r="O115" s="16"/>
      <c r="P115" s="16"/>
    </row>
    <row r="116" spans="1:16" x14ac:dyDescent="0.25">
      <c r="A116" s="17" t="s">
        <v>1708</v>
      </c>
      <c r="B116" s="17" t="s">
        <v>1709</v>
      </c>
      <c r="C116" s="16" t="s">
        <v>495</v>
      </c>
      <c r="D116" s="16"/>
      <c r="E116" s="16"/>
      <c r="F116" s="16"/>
      <c r="G116" s="16"/>
      <c r="H116" s="16"/>
      <c r="I116" s="16"/>
      <c r="J116" s="16"/>
      <c r="K116" s="16" t="s">
        <v>3960</v>
      </c>
      <c r="L116" s="16"/>
      <c r="M116" s="16"/>
      <c r="N116" s="16"/>
      <c r="O116" s="16"/>
      <c r="P116" s="16"/>
    </row>
    <row r="117" spans="1:16" x14ac:dyDescent="0.25">
      <c r="A117" s="17" t="s">
        <v>1717</v>
      </c>
      <c r="B117" s="17" t="s">
        <v>1718</v>
      </c>
      <c r="C117" s="16" t="s">
        <v>495</v>
      </c>
      <c r="D117" s="16"/>
      <c r="E117" s="16"/>
      <c r="F117" s="16"/>
      <c r="G117" s="16"/>
      <c r="H117" s="16"/>
      <c r="I117" s="16"/>
      <c r="J117" s="16"/>
      <c r="K117" s="16" t="s">
        <v>3960</v>
      </c>
      <c r="L117" s="16"/>
      <c r="M117" s="16"/>
      <c r="N117" s="16"/>
      <c r="O117" s="16"/>
      <c r="P117" s="16"/>
    </row>
    <row r="118" spans="1:16" x14ac:dyDescent="0.25">
      <c r="A118" s="17" t="s">
        <v>1729</v>
      </c>
      <c r="B118" s="17" t="s">
        <v>1730</v>
      </c>
      <c r="C118" s="16" t="s">
        <v>495</v>
      </c>
      <c r="D118" s="16"/>
      <c r="E118" s="16"/>
      <c r="F118" s="16"/>
      <c r="G118" s="16"/>
      <c r="H118" s="16"/>
      <c r="I118" s="16"/>
      <c r="J118" s="16"/>
      <c r="K118" s="16" t="s">
        <v>3960</v>
      </c>
      <c r="L118" s="16"/>
      <c r="M118" s="16"/>
      <c r="N118" s="16"/>
      <c r="O118" s="16"/>
      <c r="P118" s="16"/>
    </row>
    <row r="119" spans="1:16" x14ac:dyDescent="0.25">
      <c r="A119" s="17" t="s">
        <v>1740</v>
      </c>
      <c r="B119" s="17" t="s">
        <v>1741</v>
      </c>
      <c r="C119" s="16" t="s">
        <v>619</v>
      </c>
      <c r="D119" s="16"/>
      <c r="E119" s="16"/>
      <c r="F119" s="16"/>
      <c r="G119" s="16"/>
      <c r="H119" s="16"/>
      <c r="I119" s="16"/>
      <c r="J119" s="16"/>
      <c r="K119" s="16" t="s">
        <v>3960</v>
      </c>
      <c r="L119" s="16"/>
      <c r="M119" s="16"/>
      <c r="N119" s="16"/>
      <c r="O119" s="16"/>
      <c r="P119" s="16"/>
    </row>
    <row r="120" spans="1:16" x14ac:dyDescent="0.25">
      <c r="A120" s="17" t="s">
        <v>1752</v>
      </c>
      <c r="B120" s="17" t="s">
        <v>1753</v>
      </c>
      <c r="C120" s="16" t="s">
        <v>619</v>
      </c>
      <c r="D120" s="16"/>
      <c r="E120" s="16"/>
      <c r="F120" s="16"/>
      <c r="G120" s="16"/>
      <c r="H120" s="16"/>
      <c r="I120" s="16"/>
      <c r="J120" s="16"/>
      <c r="K120" s="16" t="s">
        <v>3960</v>
      </c>
      <c r="L120" s="16"/>
      <c r="M120" s="16"/>
      <c r="N120" s="16"/>
      <c r="O120" s="16"/>
      <c r="P120" s="16"/>
    </row>
    <row r="121" spans="1:16" x14ac:dyDescent="0.25">
      <c r="A121" s="17" t="s">
        <v>1762</v>
      </c>
      <c r="B121" s="17" t="s">
        <v>1763</v>
      </c>
      <c r="C121" s="16" t="s">
        <v>619</v>
      </c>
      <c r="D121" s="16"/>
      <c r="E121" s="16"/>
      <c r="F121" s="16"/>
      <c r="G121" s="16"/>
      <c r="H121" s="16"/>
      <c r="I121" s="16"/>
      <c r="J121" s="16"/>
      <c r="K121" s="16" t="s">
        <v>3960</v>
      </c>
      <c r="L121" s="16"/>
      <c r="M121" s="16"/>
      <c r="N121" s="16"/>
      <c r="O121" s="16"/>
      <c r="P121" s="16"/>
    </row>
    <row r="122" spans="1:16" x14ac:dyDescent="0.25">
      <c r="A122" s="17" t="s">
        <v>1772</v>
      </c>
      <c r="B122" s="17" t="s">
        <v>1774</v>
      </c>
      <c r="C122" s="16" t="s">
        <v>495</v>
      </c>
      <c r="D122" s="16"/>
      <c r="E122" s="16"/>
      <c r="F122" s="16"/>
      <c r="G122" s="16"/>
      <c r="H122" s="16"/>
      <c r="I122" s="16"/>
      <c r="J122" s="16" t="s">
        <v>3960</v>
      </c>
      <c r="K122" s="16"/>
      <c r="L122" s="16"/>
      <c r="M122" s="16"/>
      <c r="N122" s="16"/>
      <c r="O122" s="16"/>
      <c r="P122" s="16"/>
    </row>
    <row r="123" spans="1:16" x14ac:dyDescent="0.25">
      <c r="A123" s="17" t="s">
        <v>1785</v>
      </c>
      <c r="B123" s="17" t="s">
        <v>1786</v>
      </c>
      <c r="C123" s="16" t="s">
        <v>495</v>
      </c>
      <c r="D123" s="16"/>
      <c r="E123" s="16"/>
      <c r="F123" s="16"/>
      <c r="G123" s="16"/>
      <c r="H123" s="16"/>
      <c r="I123" s="16"/>
      <c r="J123" s="16" t="s">
        <v>3960</v>
      </c>
      <c r="K123" s="16"/>
      <c r="L123" s="16"/>
      <c r="M123" s="16"/>
      <c r="N123" s="16"/>
      <c r="O123" s="16"/>
      <c r="P123" s="16"/>
    </row>
    <row r="124" spans="1:16" x14ac:dyDescent="0.25">
      <c r="A124" s="17" t="s">
        <v>1795</v>
      </c>
      <c r="B124" s="17" t="s">
        <v>1796</v>
      </c>
      <c r="C124" s="16" t="s">
        <v>619</v>
      </c>
      <c r="D124" s="16"/>
      <c r="E124" s="16"/>
      <c r="F124" s="16"/>
      <c r="G124" s="16"/>
      <c r="H124" s="16"/>
      <c r="I124" s="16"/>
      <c r="J124" s="16" t="s">
        <v>3960</v>
      </c>
      <c r="K124" s="16"/>
      <c r="L124" s="16"/>
      <c r="M124" s="16"/>
      <c r="N124" s="16"/>
      <c r="O124" s="16"/>
      <c r="P124" s="16"/>
    </row>
    <row r="125" spans="1:16" x14ac:dyDescent="0.25">
      <c r="A125" s="17" t="s">
        <v>1805</v>
      </c>
      <c r="B125" s="17" t="s">
        <v>1806</v>
      </c>
      <c r="C125" s="16" t="s">
        <v>619</v>
      </c>
      <c r="D125" s="16"/>
      <c r="E125" s="16"/>
      <c r="F125" s="16"/>
      <c r="G125" s="16"/>
      <c r="H125" s="16"/>
      <c r="I125" s="16"/>
      <c r="J125" s="16" t="s">
        <v>3960</v>
      </c>
      <c r="K125" s="16"/>
      <c r="L125" s="16"/>
      <c r="M125" s="16"/>
      <c r="N125" s="16"/>
      <c r="O125" s="16"/>
      <c r="P125" s="16"/>
    </row>
    <row r="126" spans="1:16" x14ac:dyDescent="0.25">
      <c r="A126" s="17" t="s">
        <v>1815</v>
      </c>
      <c r="B126" s="17" t="s">
        <v>1816</v>
      </c>
      <c r="C126" s="16" t="s">
        <v>619</v>
      </c>
      <c r="D126" s="16"/>
      <c r="E126" s="16"/>
      <c r="F126" s="16"/>
      <c r="G126" s="16"/>
      <c r="H126" s="16"/>
      <c r="I126" s="16"/>
      <c r="J126" s="16" t="s">
        <v>3960</v>
      </c>
      <c r="K126" s="16"/>
      <c r="L126" s="16"/>
      <c r="M126" s="16"/>
      <c r="N126" s="16"/>
      <c r="O126" s="16"/>
      <c r="P126" s="16"/>
    </row>
    <row r="127" spans="1:16" x14ac:dyDescent="0.25">
      <c r="A127" s="17" t="s">
        <v>1824</v>
      </c>
      <c r="B127" s="17" t="s">
        <v>1825</v>
      </c>
      <c r="C127" s="16" t="s">
        <v>495</v>
      </c>
      <c r="D127" s="16"/>
      <c r="E127" s="16"/>
      <c r="F127" s="16"/>
      <c r="G127" s="16"/>
      <c r="H127" s="16"/>
      <c r="I127" s="16" t="s">
        <v>3960</v>
      </c>
      <c r="J127" s="16" t="s">
        <v>3960</v>
      </c>
      <c r="K127" s="16"/>
      <c r="L127" s="16"/>
      <c r="M127" s="16"/>
      <c r="N127" s="16"/>
      <c r="O127" s="16"/>
      <c r="P127" s="16"/>
    </row>
    <row r="128" spans="1:16" x14ac:dyDescent="0.25">
      <c r="A128" s="17" t="s">
        <v>1837</v>
      </c>
      <c r="B128" s="17" t="s">
        <v>1839</v>
      </c>
      <c r="C128" s="16" t="s">
        <v>495</v>
      </c>
      <c r="D128" s="16"/>
      <c r="E128" s="16"/>
      <c r="F128" s="16"/>
      <c r="G128" s="16"/>
      <c r="H128" s="16"/>
      <c r="I128" s="16"/>
      <c r="J128" s="16" t="s">
        <v>3960</v>
      </c>
      <c r="K128" s="16"/>
      <c r="L128" s="16"/>
      <c r="M128" s="16" t="s">
        <v>3960</v>
      </c>
      <c r="N128" s="16"/>
      <c r="O128" s="16"/>
      <c r="P128" s="16"/>
    </row>
    <row r="129" spans="1:16" x14ac:dyDescent="0.25">
      <c r="A129" s="17" t="s">
        <v>1851</v>
      </c>
      <c r="B129" s="17" t="s">
        <v>1852</v>
      </c>
      <c r="C129" s="16" t="s">
        <v>495</v>
      </c>
      <c r="D129" s="16"/>
      <c r="E129" s="16"/>
      <c r="F129" s="16"/>
      <c r="G129" s="16"/>
      <c r="H129" s="16"/>
      <c r="I129" s="16"/>
      <c r="J129" s="16" t="s">
        <v>3960</v>
      </c>
      <c r="K129" s="16"/>
      <c r="L129" s="16"/>
      <c r="M129" s="16"/>
      <c r="N129" s="16"/>
      <c r="O129" s="16"/>
      <c r="P129" s="16"/>
    </row>
    <row r="130" spans="1:16" x14ac:dyDescent="0.25">
      <c r="A130" s="17" t="s">
        <v>1862</v>
      </c>
      <c r="B130" s="17" t="s">
        <v>1863</v>
      </c>
      <c r="C130" s="16" t="s">
        <v>619</v>
      </c>
      <c r="D130" s="16"/>
      <c r="E130" s="16"/>
      <c r="F130" s="16"/>
      <c r="G130" s="16"/>
      <c r="H130" s="16"/>
      <c r="I130" s="16"/>
      <c r="J130" s="16" t="s">
        <v>3960</v>
      </c>
      <c r="K130" s="16"/>
      <c r="L130" s="16"/>
      <c r="M130" s="16"/>
      <c r="N130" s="16" t="s">
        <v>3960</v>
      </c>
      <c r="O130" s="16"/>
      <c r="P130" s="16"/>
    </row>
    <row r="131" spans="1:16" x14ac:dyDescent="0.25">
      <c r="A131" s="17" t="s">
        <v>1874</v>
      </c>
      <c r="B131" s="17" t="s">
        <v>1875</v>
      </c>
      <c r="C131" s="16" t="s">
        <v>619</v>
      </c>
      <c r="D131" s="16"/>
      <c r="E131" s="16"/>
      <c r="F131" s="16"/>
      <c r="G131" s="16" t="s">
        <v>3960</v>
      </c>
      <c r="H131" s="16"/>
      <c r="I131" s="16"/>
      <c r="J131" s="16" t="s">
        <v>3960</v>
      </c>
      <c r="K131" s="16"/>
      <c r="L131" s="16"/>
      <c r="M131" s="16"/>
      <c r="N131" s="16"/>
      <c r="O131" s="16"/>
      <c r="P131" s="16"/>
    </row>
    <row r="132" spans="1:16" x14ac:dyDescent="0.25">
      <c r="A132" s="17" t="s">
        <v>1885</v>
      </c>
      <c r="B132" s="17" t="s">
        <v>1886</v>
      </c>
      <c r="C132" s="16" t="s">
        <v>495</v>
      </c>
      <c r="D132" s="16"/>
      <c r="E132" s="16"/>
      <c r="F132" s="16"/>
      <c r="G132" s="16"/>
      <c r="H132" s="16"/>
      <c r="I132" s="16"/>
      <c r="J132" s="16" t="s">
        <v>3960</v>
      </c>
      <c r="K132" s="16"/>
      <c r="L132" s="16"/>
      <c r="M132" s="16"/>
      <c r="N132" s="16" t="s">
        <v>3960</v>
      </c>
      <c r="O132" s="16"/>
      <c r="P132" s="16"/>
    </row>
    <row r="133" spans="1:16" x14ac:dyDescent="0.25">
      <c r="A133" s="17" t="s">
        <v>1893</v>
      </c>
      <c r="B133" s="17" t="s">
        <v>1895</v>
      </c>
      <c r="C133" s="16" t="s">
        <v>495</v>
      </c>
      <c r="D133" s="16"/>
      <c r="E133" s="16"/>
      <c r="F133" s="16"/>
      <c r="G133" s="16"/>
      <c r="H133" s="16"/>
      <c r="I133" s="16"/>
      <c r="J133" s="16"/>
      <c r="K133" s="16"/>
      <c r="L133" s="16"/>
      <c r="M133" s="16"/>
      <c r="N133" s="16"/>
      <c r="O133" s="16" t="s">
        <v>3960</v>
      </c>
      <c r="P133" s="16"/>
    </row>
    <row r="134" spans="1:16" x14ac:dyDescent="0.25">
      <c r="A134" s="17" t="s">
        <v>1905</v>
      </c>
      <c r="B134" s="17" t="s">
        <v>1906</v>
      </c>
      <c r="C134" s="16" t="s">
        <v>495</v>
      </c>
      <c r="D134" s="16"/>
      <c r="E134" s="16"/>
      <c r="F134" s="16"/>
      <c r="G134" s="16"/>
      <c r="H134" s="16"/>
      <c r="I134" s="16"/>
      <c r="J134" s="16"/>
      <c r="K134" s="16"/>
      <c r="L134" s="16"/>
      <c r="M134" s="16"/>
      <c r="N134" s="16"/>
      <c r="O134" s="16" t="s">
        <v>3960</v>
      </c>
      <c r="P134" s="16"/>
    </row>
    <row r="135" spans="1:16" x14ac:dyDescent="0.25">
      <c r="A135" s="17" t="s">
        <v>1915</v>
      </c>
      <c r="B135" s="17" t="s">
        <v>1916</v>
      </c>
      <c r="C135" s="16" t="s">
        <v>619</v>
      </c>
      <c r="D135" s="16"/>
      <c r="E135" s="16"/>
      <c r="F135" s="16"/>
      <c r="G135" s="16"/>
      <c r="H135" s="16"/>
      <c r="I135" s="16"/>
      <c r="J135" s="16"/>
      <c r="K135" s="16"/>
      <c r="L135" s="16"/>
      <c r="M135" s="16"/>
      <c r="N135" s="16"/>
      <c r="O135" s="16" t="s">
        <v>3960</v>
      </c>
      <c r="P135" s="16"/>
    </row>
    <row r="136" spans="1:16" x14ac:dyDescent="0.25">
      <c r="A136" s="17" t="s">
        <v>1927</v>
      </c>
      <c r="B136" s="17" t="s">
        <v>1928</v>
      </c>
      <c r="C136" s="16" t="s">
        <v>619</v>
      </c>
      <c r="D136" s="16"/>
      <c r="E136" s="16"/>
      <c r="F136" s="16"/>
      <c r="G136" s="16"/>
      <c r="H136" s="16"/>
      <c r="I136" s="16"/>
      <c r="J136" s="16"/>
      <c r="K136" s="16"/>
      <c r="L136" s="16"/>
      <c r="M136" s="16"/>
      <c r="N136" s="16"/>
      <c r="O136" s="16" t="s">
        <v>3960</v>
      </c>
      <c r="P136" s="16"/>
    </row>
    <row r="137" spans="1:16" x14ac:dyDescent="0.25">
      <c r="A137" s="17" t="s">
        <v>1938</v>
      </c>
      <c r="B137" s="17" t="s">
        <v>1940</v>
      </c>
      <c r="C137" s="16" t="s">
        <v>495</v>
      </c>
      <c r="D137" s="16" t="s">
        <v>3960</v>
      </c>
      <c r="E137" s="16"/>
      <c r="F137" s="16"/>
      <c r="G137" s="16"/>
      <c r="H137" s="16"/>
      <c r="I137" s="16"/>
      <c r="J137" s="16"/>
      <c r="K137" s="16"/>
      <c r="L137" s="16"/>
      <c r="M137" s="16"/>
      <c r="N137" s="16"/>
      <c r="O137" s="16" t="s">
        <v>3960</v>
      </c>
      <c r="P137" s="16"/>
    </row>
    <row r="138" spans="1:16" x14ac:dyDescent="0.25">
      <c r="A138" s="17" t="s">
        <v>1951</v>
      </c>
      <c r="B138" s="17" t="s">
        <v>1952</v>
      </c>
      <c r="C138" s="16" t="s">
        <v>495</v>
      </c>
      <c r="D138" s="16"/>
      <c r="E138" s="16"/>
      <c r="F138" s="16"/>
      <c r="G138" s="16" t="s">
        <v>3960</v>
      </c>
      <c r="H138" s="16"/>
      <c r="I138" s="16"/>
      <c r="J138" s="16"/>
      <c r="K138" s="16"/>
      <c r="L138" s="16"/>
      <c r="M138" s="16"/>
      <c r="N138" s="16"/>
      <c r="O138" s="16" t="s">
        <v>3960</v>
      </c>
      <c r="P138" s="16"/>
    </row>
    <row r="139" spans="1:16" x14ac:dyDescent="0.25">
      <c r="A139" s="17" t="s">
        <v>1962</v>
      </c>
      <c r="B139" s="17" t="s">
        <v>1963</v>
      </c>
      <c r="C139" s="16" t="s">
        <v>495</v>
      </c>
      <c r="D139" s="16"/>
      <c r="E139" s="16"/>
      <c r="F139" s="16"/>
      <c r="G139" s="16"/>
      <c r="H139" s="16"/>
      <c r="I139" s="16"/>
      <c r="J139" s="16"/>
      <c r="K139" s="16"/>
      <c r="L139" s="16"/>
      <c r="M139" s="16"/>
      <c r="N139" s="16"/>
      <c r="O139" s="16" t="s">
        <v>3960</v>
      </c>
      <c r="P139" s="16"/>
    </row>
    <row r="140" spans="1:16" x14ac:dyDescent="0.25">
      <c r="A140" s="17" t="s">
        <v>1973</v>
      </c>
      <c r="B140" s="17" t="s">
        <v>1974</v>
      </c>
      <c r="C140" s="16" t="s">
        <v>619</v>
      </c>
      <c r="D140" s="16"/>
      <c r="E140" s="16"/>
      <c r="F140" s="16" t="s">
        <v>3960</v>
      </c>
      <c r="G140" s="16"/>
      <c r="H140" s="16"/>
      <c r="I140" s="16"/>
      <c r="J140" s="16"/>
      <c r="K140" s="16"/>
      <c r="L140" s="16"/>
      <c r="M140" s="16"/>
      <c r="N140" s="16"/>
      <c r="O140" s="16" t="s">
        <v>3960</v>
      </c>
      <c r="P140" s="16"/>
    </row>
    <row r="141" spans="1:16" x14ac:dyDescent="0.25">
      <c r="A141" s="17" t="s">
        <v>1984</v>
      </c>
      <c r="B141" s="17" t="s">
        <v>1985</v>
      </c>
      <c r="C141" s="16" t="s">
        <v>619</v>
      </c>
      <c r="D141" s="16"/>
      <c r="E141" s="16"/>
      <c r="F141" s="16"/>
      <c r="G141" s="16"/>
      <c r="H141" s="16"/>
      <c r="I141" s="16"/>
      <c r="J141" s="16"/>
      <c r="K141" s="16"/>
      <c r="L141" s="16" t="s">
        <v>3960</v>
      </c>
      <c r="M141" s="16"/>
      <c r="N141" s="16"/>
      <c r="O141" s="16" t="s">
        <v>3960</v>
      </c>
      <c r="P141" s="16"/>
    </row>
    <row r="142" spans="1:16" x14ac:dyDescent="0.25">
      <c r="B142" s="3" t="s">
        <v>3961</v>
      </c>
      <c r="D142" s="22">
        <f t="shared" ref="D142:P142" si="0">COUNTIF(D4:D141,"●")</f>
        <v>13</v>
      </c>
      <c r="E142" s="22">
        <f t="shared" si="0"/>
        <v>14</v>
      </c>
      <c r="F142" s="22">
        <f t="shared" si="0"/>
        <v>19</v>
      </c>
      <c r="G142" s="22">
        <f t="shared" si="0"/>
        <v>19</v>
      </c>
      <c r="H142" s="22">
        <f t="shared" si="0"/>
        <v>13</v>
      </c>
      <c r="I142" s="22">
        <f t="shared" si="0"/>
        <v>11</v>
      </c>
      <c r="J142" s="22">
        <f t="shared" si="0"/>
        <v>13</v>
      </c>
      <c r="K142" s="22">
        <f t="shared" si="0"/>
        <v>10</v>
      </c>
      <c r="L142" s="22">
        <f t="shared" si="0"/>
        <v>11</v>
      </c>
      <c r="M142" s="22">
        <f t="shared" si="0"/>
        <v>17</v>
      </c>
      <c r="N142" s="22">
        <f t="shared" si="0"/>
        <v>23</v>
      </c>
      <c r="O142" s="22">
        <f t="shared" si="0"/>
        <v>16</v>
      </c>
      <c r="P142" s="22">
        <f t="shared" si="0"/>
        <v>13</v>
      </c>
    </row>
    <row r="143" spans="1:16" x14ac:dyDescent="0.25">
      <c r="A143" s="3" t="s">
        <v>3962</v>
      </c>
    </row>
    <row r="144" spans="1:16" x14ac:dyDescent="0.25">
      <c r="A144" s="23" t="s">
        <v>233</v>
      </c>
      <c r="B144" s="23" t="s">
        <v>234</v>
      </c>
    </row>
    <row r="145" spans="1:2" x14ac:dyDescent="0.25">
      <c r="A145" s="23" t="s">
        <v>240</v>
      </c>
      <c r="B145" s="23" t="s">
        <v>241</v>
      </c>
    </row>
    <row r="146" spans="1:2" x14ac:dyDescent="0.25">
      <c r="A146" s="23" t="s">
        <v>247</v>
      </c>
      <c r="B146" s="23" t="s">
        <v>248</v>
      </c>
    </row>
    <row r="147" spans="1:2" x14ac:dyDescent="0.25">
      <c r="A147" s="23" t="s">
        <v>254</v>
      </c>
      <c r="B147" s="23" t="s">
        <v>255</v>
      </c>
    </row>
    <row r="148" spans="1:2" x14ac:dyDescent="0.25">
      <c r="A148" s="23" t="s">
        <v>261</v>
      </c>
      <c r="B148" s="23" t="s">
        <v>262</v>
      </c>
    </row>
    <row r="149" spans="1:2" x14ac:dyDescent="0.25">
      <c r="A149" s="23" t="s">
        <v>268</v>
      </c>
      <c r="B149" s="23" t="s">
        <v>269</v>
      </c>
    </row>
    <row r="150" spans="1:2" x14ac:dyDescent="0.25">
      <c r="A150" s="23" t="s">
        <v>275</v>
      </c>
      <c r="B150" s="23" t="s">
        <v>276</v>
      </c>
    </row>
    <row r="151" spans="1:2" x14ac:dyDescent="0.25">
      <c r="A151" s="23" t="s">
        <v>282</v>
      </c>
      <c r="B151" s="23" t="s">
        <v>283</v>
      </c>
    </row>
    <row r="152" spans="1:2" x14ac:dyDescent="0.25">
      <c r="A152" s="23" t="s">
        <v>289</v>
      </c>
      <c r="B152" s="23" t="s">
        <v>290</v>
      </c>
    </row>
    <row r="153" spans="1:2" x14ac:dyDescent="0.25">
      <c r="A153" s="23" t="s">
        <v>296</v>
      </c>
      <c r="B153" s="23" t="s">
        <v>297</v>
      </c>
    </row>
    <row r="154" spans="1:2" x14ac:dyDescent="0.25">
      <c r="A154" s="23" t="s">
        <v>303</v>
      </c>
      <c r="B154" s="23" t="s">
        <v>304</v>
      </c>
    </row>
    <row r="155" spans="1:2" x14ac:dyDescent="0.25">
      <c r="A155" s="23" t="s">
        <v>310</v>
      </c>
      <c r="B155" s="23" t="s">
        <v>311</v>
      </c>
    </row>
    <row r="156" spans="1:2" x14ac:dyDescent="0.25">
      <c r="A156" s="23" t="s">
        <v>317</v>
      </c>
      <c r="B156" s="23" t="s">
        <v>318</v>
      </c>
    </row>
  </sheetData>
  <autoFilter ref="A3:P141" xr:uid="{00000000-0009-0000-0000-000009000000}"/>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5597"/>
    <pageSetUpPr fitToPage="1"/>
  </sheetPr>
  <dimension ref="A1:BE142"/>
  <sheetViews>
    <sheetView showGridLines="0" zoomScaleNormal="100" workbookViewId="0">
      <pane xSplit="1" ySplit="3" topLeftCell="B101" activePane="bottomRight" state="frozen"/>
      <selection pane="topRight" activeCell="B1" sqref="B1"/>
      <selection pane="bottomLeft" activeCell="A4" sqref="A4"/>
      <selection pane="bottomRight" activeCell="A33" sqref="A33"/>
    </sheetView>
  </sheetViews>
  <sheetFormatPr baseColWidth="10" defaultColWidth="8.7109375" defaultRowHeight="15" x14ac:dyDescent="0.25"/>
  <cols>
    <col min="1" max="1" width="13" customWidth="1"/>
    <col min="2" max="2" width="38" customWidth="1"/>
    <col min="3" max="57" width="7" customWidth="1"/>
  </cols>
  <sheetData>
    <row r="1" spans="1:57" ht="18" x14ac:dyDescent="0.25">
      <c r="A1" s="9" t="s">
        <v>3963</v>
      </c>
    </row>
    <row r="2" spans="1:57" x14ac:dyDescent="0.25">
      <c r="A2" s="10" t="s">
        <v>3964</v>
      </c>
    </row>
    <row r="3" spans="1:57" ht="94.5" customHeight="1" x14ac:dyDescent="0.25">
      <c r="A3" s="11" t="s">
        <v>34</v>
      </c>
      <c r="B3" s="11" t="s">
        <v>476</v>
      </c>
      <c r="C3" s="24" t="s">
        <v>3690</v>
      </c>
      <c r="D3" s="24" t="s">
        <v>3698</v>
      </c>
      <c r="E3" s="24" t="s">
        <v>3707</v>
      </c>
      <c r="F3" s="24" t="s">
        <v>3711</v>
      </c>
      <c r="G3" s="24" t="s">
        <v>3717</v>
      </c>
      <c r="H3" s="24" t="s">
        <v>3722</v>
      </c>
      <c r="I3" s="24" t="s">
        <v>3727</v>
      </c>
      <c r="J3" s="24" t="s">
        <v>3732</v>
      </c>
      <c r="K3" s="24" t="s">
        <v>3738</v>
      </c>
      <c r="L3" s="24" t="s">
        <v>3743</v>
      </c>
      <c r="M3" s="24" t="s">
        <v>3747</v>
      </c>
      <c r="N3" s="24" t="s">
        <v>3752</v>
      </c>
      <c r="O3" s="24" t="s">
        <v>3757</v>
      </c>
      <c r="P3" s="24" t="s">
        <v>3760</v>
      </c>
      <c r="Q3" s="24" t="s">
        <v>3765</v>
      </c>
      <c r="R3" s="24" t="s">
        <v>1096</v>
      </c>
      <c r="S3" s="24" t="s">
        <v>3774</v>
      </c>
      <c r="T3" s="24" t="s">
        <v>3780</v>
      </c>
      <c r="U3" s="24" t="s">
        <v>3785</v>
      </c>
      <c r="V3" s="24" t="s">
        <v>3790</v>
      </c>
      <c r="W3" s="24" t="s">
        <v>3795</v>
      </c>
      <c r="X3" s="24" t="s">
        <v>3806</v>
      </c>
      <c r="Y3" s="24" t="s">
        <v>3817</v>
      </c>
      <c r="Z3" s="24" t="s">
        <v>3822</v>
      </c>
      <c r="AA3" s="24" t="s">
        <v>3828</v>
      </c>
      <c r="AB3" s="24" t="s">
        <v>3833</v>
      </c>
      <c r="AC3" s="24" t="s">
        <v>3838</v>
      </c>
      <c r="AD3" s="24" t="s">
        <v>3844</v>
      </c>
      <c r="AE3" s="24" t="s">
        <v>3849</v>
      </c>
      <c r="AF3" s="24" t="s">
        <v>3853</v>
      </c>
      <c r="AG3" s="24" t="s">
        <v>3857</v>
      </c>
      <c r="AH3" s="24" t="s">
        <v>3861</v>
      </c>
      <c r="AI3" s="24" t="s">
        <v>3865</v>
      </c>
      <c r="AJ3" s="24" t="s">
        <v>3869</v>
      </c>
      <c r="AK3" s="24" t="s">
        <v>3873</v>
      </c>
      <c r="AL3" s="24" t="s">
        <v>3877</v>
      </c>
      <c r="AM3" s="24" t="s">
        <v>3881</v>
      </c>
      <c r="AN3" s="24" t="s">
        <v>3885</v>
      </c>
      <c r="AO3" s="24" t="s">
        <v>3889</v>
      </c>
      <c r="AP3" s="24" t="s">
        <v>3893</v>
      </c>
      <c r="AQ3" s="24" t="s">
        <v>3897</v>
      </c>
      <c r="AR3" s="24" t="s">
        <v>3901</v>
      </c>
      <c r="AS3" s="24" t="s">
        <v>3905</v>
      </c>
      <c r="AT3" s="24" t="s">
        <v>3909</v>
      </c>
      <c r="AU3" s="24" t="s">
        <v>3913</v>
      </c>
      <c r="AV3" s="24" t="s">
        <v>3917</v>
      </c>
      <c r="AW3" s="24" t="s">
        <v>3921</v>
      </c>
      <c r="AX3" s="24" t="s">
        <v>3926</v>
      </c>
      <c r="AY3" s="24" t="s">
        <v>3930</v>
      </c>
      <c r="AZ3" s="24" t="s">
        <v>3934</v>
      </c>
      <c r="BA3" s="24" t="s">
        <v>3938</v>
      </c>
      <c r="BB3" s="24" t="s">
        <v>3942</v>
      </c>
      <c r="BC3" s="24" t="s">
        <v>3945</v>
      </c>
      <c r="BD3" s="24" t="s">
        <v>3949</v>
      </c>
      <c r="BE3" s="24" t="s">
        <v>3953</v>
      </c>
    </row>
    <row r="4" spans="1:57" ht="15" customHeight="1" x14ac:dyDescent="0.25">
      <c r="A4" s="17" t="s">
        <v>485</v>
      </c>
      <c r="B4" s="17" t="s">
        <v>487</v>
      </c>
      <c r="C4" s="16"/>
      <c r="D4" s="16"/>
      <c r="E4" s="16"/>
      <c r="F4" s="16"/>
      <c r="G4" s="16"/>
      <c r="H4" s="16"/>
      <c r="I4" s="16" t="s">
        <v>3960</v>
      </c>
      <c r="J4" s="16"/>
      <c r="K4" s="16" t="s">
        <v>3960</v>
      </c>
      <c r="L4" s="16"/>
      <c r="M4" s="16"/>
      <c r="N4" s="16"/>
      <c r="O4" s="16"/>
      <c r="P4" s="16"/>
      <c r="Q4" s="16"/>
      <c r="R4" s="16"/>
      <c r="S4" s="16"/>
      <c r="T4" s="16"/>
      <c r="U4" s="16"/>
      <c r="V4" s="16"/>
      <c r="W4" s="16"/>
      <c r="X4" s="16"/>
      <c r="Y4" s="16"/>
      <c r="Z4" s="16"/>
      <c r="AA4" s="16"/>
      <c r="AB4" s="16" t="s">
        <v>3960</v>
      </c>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row>
    <row r="5" spans="1:57" ht="15" customHeight="1" x14ac:dyDescent="0.25">
      <c r="A5" s="17" t="s">
        <v>500</v>
      </c>
      <c r="B5" s="17" t="s">
        <v>501</v>
      </c>
      <c r="C5" s="16"/>
      <c r="D5" s="16"/>
      <c r="E5" s="16"/>
      <c r="F5" s="16"/>
      <c r="G5" s="16"/>
      <c r="H5" s="16" t="s">
        <v>3960</v>
      </c>
      <c r="I5" s="16"/>
      <c r="J5" s="16"/>
      <c r="K5" s="16" t="s">
        <v>3960</v>
      </c>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row>
    <row r="6" spans="1:57" ht="15" customHeight="1" x14ac:dyDescent="0.25">
      <c r="A6" s="17" t="s">
        <v>512</v>
      </c>
      <c r="B6" s="17" t="s">
        <v>513</v>
      </c>
      <c r="C6" s="16"/>
      <c r="D6" s="16"/>
      <c r="E6" s="16"/>
      <c r="F6" s="16"/>
      <c r="G6" s="16"/>
      <c r="H6" s="16"/>
      <c r="I6" s="16"/>
      <c r="J6" s="16"/>
      <c r="K6" s="16" t="s">
        <v>3960</v>
      </c>
      <c r="L6" s="16"/>
      <c r="M6" s="16"/>
      <c r="N6" s="16"/>
      <c r="O6" s="16"/>
      <c r="P6" s="16"/>
      <c r="Q6" s="16"/>
      <c r="R6" s="16"/>
      <c r="S6" s="16"/>
      <c r="T6" s="16"/>
      <c r="U6" s="16"/>
      <c r="V6" s="16"/>
      <c r="W6" s="16"/>
      <c r="X6" s="16"/>
      <c r="Y6" s="16"/>
      <c r="Z6" s="16" t="s">
        <v>3960</v>
      </c>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row>
    <row r="7" spans="1:57" ht="15" customHeight="1" x14ac:dyDescent="0.25">
      <c r="A7" s="17" t="s">
        <v>523</v>
      </c>
      <c r="B7" s="17" t="s">
        <v>524</v>
      </c>
      <c r="C7" s="16"/>
      <c r="D7" s="16"/>
      <c r="E7" s="16"/>
      <c r="F7" s="16"/>
      <c r="G7" s="16"/>
      <c r="H7" s="16"/>
      <c r="I7" s="16"/>
      <c r="J7" s="16"/>
      <c r="K7" s="16" t="s">
        <v>3960</v>
      </c>
      <c r="L7" s="16"/>
      <c r="M7" s="16"/>
      <c r="N7" s="16"/>
      <c r="O7" s="16"/>
      <c r="P7" s="16"/>
      <c r="Q7" s="16"/>
      <c r="R7" s="16"/>
      <c r="S7" s="16"/>
      <c r="T7" s="16"/>
      <c r="U7" s="16"/>
      <c r="V7" s="16"/>
      <c r="W7" s="16"/>
      <c r="X7" s="16"/>
      <c r="Y7" s="16"/>
      <c r="Z7" s="16" t="s">
        <v>3960</v>
      </c>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row>
    <row r="8" spans="1:57" ht="15" customHeight="1" x14ac:dyDescent="0.25">
      <c r="A8" s="17" t="s">
        <v>533</v>
      </c>
      <c r="B8" s="17" t="s">
        <v>534</v>
      </c>
      <c r="C8" s="16"/>
      <c r="D8" s="16"/>
      <c r="E8" s="16"/>
      <c r="F8" s="16"/>
      <c r="G8" s="16"/>
      <c r="H8" s="16"/>
      <c r="I8" s="16"/>
      <c r="J8" s="16"/>
      <c r="K8" s="16"/>
      <c r="L8" s="16"/>
      <c r="M8" s="16"/>
      <c r="N8" s="16"/>
      <c r="O8" s="16"/>
      <c r="P8" s="16"/>
      <c r="Q8" s="16"/>
      <c r="R8" s="16"/>
      <c r="S8" s="16"/>
      <c r="T8" s="16"/>
      <c r="U8" s="16"/>
      <c r="V8" s="16"/>
      <c r="W8" s="16"/>
      <c r="X8" s="16"/>
      <c r="Y8" s="16"/>
      <c r="Z8" s="16" t="s">
        <v>3960</v>
      </c>
      <c r="AA8" s="16"/>
      <c r="AB8" s="16"/>
      <c r="AC8" s="16"/>
      <c r="AD8" s="16" t="s">
        <v>3960</v>
      </c>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row>
    <row r="9" spans="1:57" ht="15" customHeight="1" x14ac:dyDescent="0.25">
      <c r="A9" s="17" t="s">
        <v>544</v>
      </c>
      <c r="B9" s="17" t="s">
        <v>545</v>
      </c>
      <c r="C9" s="16"/>
      <c r="D9" s="16"/>
      <c r="E9" s="16"/>
      <c r="F9" s="16"/>
      <c r="G9" s="16"/>
      <c r="H9" s="16"/>
      <c r="I9" s="16"/>
      <c r="J9" s="16"/>
      <c r="K9" s="16"/>
      <c r="L9" s="16"/>
      <c r="M9" s="16"/>
      <c r="N9" s="16" t="s">
        <v>3960</v>
      </c>
      <c r="O9" s="16"/>
      <c r="P9" s="16"/>
      <c r="Q9" s="16"/>
      <c r="R9" s="16"/>
      <c r="S9" s="16"/>
      <c r="T9" s="16"/>
      <c r="U9" s="16"/>
      <c r="V9" s="16" t="s">
        <v>3960</v>
      </c>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row>
    <row r="10" spans="1:57" ht="27" customHeight="1" x14ac:dyDescent="0.25">
      <c r="A10" s="17" t="s">
        <v>555</v>
      </c>
      <c r="B10" s="17" t="s">
        <v>556</v>
      </c>
      <c r="C10" s="16"/>
      <c r="D10" s="16"/>
      <c r="E10" s="16"/>
      <c r="F10" s="16" t="s">
        <v>3960</v>
      </c>
      <c r="G10" s="16"/>
      <c r="H10" s="16"/>
      <c r="I10" s="16" t="s">
        <v>3960</v>
      </c>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row>
    <row r="11" spans="1:57" ht="15" customHeight="1" x14ac:dyDescent="0.25">
      <c r="A11" s="17" t="s">
        <v>566</v>
      </c>
      <c r="B11" s="17" t="s">
        <v>568</v>
      </c>
      <c r="C11" s="16"/>
      <c r="D11" s="16"/>
      <c r="E11" s="16"/>
      <c r="F11" s="16"/>
      <c r="G11" s="16"/>
      <c r="H11" s="16"/>
      <c r="I11" s="16"/>
      <c r="J11" s="16"/>
      <c r="K11" s="16"/>
      <c r="L11" s="16"/>
      <c r="M11" s="16"/>
      <c r="N11" s="16"/>
      <c r="O11" s="16"/>
      <c r="P11" s="16"/>
      <c r="Q11" s="16"/>
      <c r="R11" s="16"/>
      <c r="S11" s="16"/>
      <c r="T11" s="16"/>
      <c r="U11" s="16"/>
      <c r="V11" s="16"/>
      <c r="W11" s="16"/>
      <c r="X11" s="16" t="s">
        <v>3960</v>
      </c>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t="s">
        <v>3960</v>
      </c>
      <c r="AW11" s="16" t="s">
        <v>3960</v>
      </c>
      <c r="AX11" s="16"/>
      <c r="AY11" s="16"/>
      <c r="AZ11" s="16"/>
      <c r="BA11" s="16"/>
      <c r="BB11" s="16"/>
      <c r="BC11" s="16"/>
      <c r="BD11" s="16"/>
      <c r="BE11" s="16"/>
    </row>
    <row r="12" spans="1:57" ht="15" customHeight="1" x14ac:dyDescent="0.25">
      <c r="A12" s="17" t="s">
        <v>579</v>
      </c>
      <c r="B12" s="17" t="s">
        <v>580</v>
      </c>
      <c r="C12" s="16"/>
      <c r="D12" s="16"/>
      <c r="E12" s="16"/>
      <c r="F12" s="16"/>
      <c r="G12" s="16"/>
      <c r="H12" s="16"/>
      <c r="I12" s="16"/>
      <c r="J12" s="16" t="s">
        <v>3960</v>
      </c>
      <c r="K12" s="16"/>
      <c r="L12" s="16"/>
      <c r="M12" s="16"/>
      <c r="N12" s="16" t="s">
        <v>3960</v>
      </c>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row>
    <row r="13" spans="1:57" ht="15" customHeight="1" x14ac:dyDescent="0.25">
      <c r="A13" s="17" t="s">
        <v>590</v>
      </c>
      <c r="B13" s="17" t="s">
        <v>591</v>
      </c>
      <c r="C13" s="16"/>
      <c r="D13" s="16"/>
      <c r="E13" s="16"/>
      <c r="F13" s="16"/>
      <c r="G13" s="16"/>
      <c r="H13" s="16"/>
      <c r="I13" s="16"/>
      <c r="J13" s="16" t="s">
        <v>3960</v>
      </c>
      <c r="K13" s="16"/>
      <c r="L13" s="16"/>
      <c r="M13" s="16"/>
      <c r="N13" s="16"/>
      <c r="O13" s="16" t="s">
        <v>3960</v>
      </c>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row>
    <row r="14" spans="1:57" ht="15" customHeight="1" x14ac:dyDescent="0.25">
      <c r="A14" s="17" t="s">
        <v>601</v>
      </c>
      <c r="B14" s="17" t="s">
        <v>602</v>
      </c>
      <c r="C14" s="16"/>
      <c r="D14" s="16"/>
      <c r="E14" s="16"/>
      <c r="F14" s="16"/>
      <c r="G14" s="16"/>
      <c r="H14" s="16"/>
      <c r="I14" s="16"/>
      <c r="J14" s="16"/>
      <c r="K14" s="16"/>
      <c r="L14" s="16"/>
      <c r="M14" s="16"/>
      <c r="N14" s="16" t="s">
        <v>3960</v>
      </c>
      <c r="O14" s="16"/>
      <c r="P14" s="16"/>
      <c r="Q14" s="16"/>
      <c r="R14" s="16"/>
      <c r="S14" s="16"/>
      <c r="T14" s="16"/>
      <c r="U14" s="16"/>
      <c r="V14" s="16"/>
      <c r="W14" s="16"/>
      <c r="X14" s="16"/>
      <c r="Y14" s="16"/>
      <c r="Z14" s="16"/>
      <c r="AA14" s="16"/>
      <c r="AB14" s="16"/>
      <c r="AC14" s="16"/>
      <c r="AD14" s="16" t="s">
        <v>3960</v>
      </c>
      <c r="AE14" s="16"/>
      <c r="AF14" s="16"/>
      <c r="AG14" s="16"/>
      <c r="AH14" s="16"/>
      <c r="AI14" s="16"/>
      <c r="AJ14" s="16"/>
      <c r="AK14" s="16"/>
      <c r="AL14" s="16"/>
      <c r="AM14" s="16"/>
      <c r="AN14" s="16"/>
      <c r="AO14" s="16"/>
      <c r="AP14" s="16"/>
      <c r="AQ14" s="16"/>
      <c r="AR14" s="16"/>
      <c r="AS14" s="16"/>
      <c r="AT14" s="16"/>
      <c r="AU14" s="16"/>
      <c r="AV14" s="16"/>
      <c r="AW14" s="16"/>
      <c r="AX14" s="16"/>
      <c r="AY14" s="16" t="s">
        <v>3960</v>
      </c>
      <c r="AZ14" s="16"/>
      <c r="BA14" s="16"/>
      <c r="BB14" s="16"/>
      <c r="BC14" s="16"/>
      <c r="BD14" s="16"/>
      <c r="BE14" s="16"/>
    </row>
    <row r="15" spans="1:57" ht="15" customHeight="1" x14ac:dyDescent="0.25">
      <c r="A15" s="17" t="s">
        <v>611</v>
      </c>
      <c r="B15" s="17" t="s">
        <v>612</v>
      </c>
      <c r="C15" s="16"/>
      <c r="D15" s="16"/>
      <c r="E15" s="16"/>
      <c r="F15" s="16"/>
      <c r="G15" s="16"/>
      <c r="H15" s="16"/>
      <c r="I15" s="16"/>
      <c r="J15" s="16"/>
      <c r="K15" s="16"/>
      <c r="L15" s="16"/>
      <c r="M15" s="16"/>
      <c r="N15" s="16"/>
      <c r="O15" s="16"/>
      <c r="P15" s="16"/>
      <c r="Q15" s="16"/>
      <c r="R15" s="16"/>
      <c r="S15" s="16"/>
      <c r="T15" s="16"/>
      <c r="U15" s="16"/>
      <c r="V15" s="16"/>
      <c r="W15" s="16"/>
      <c r="X15" s="16"/>
      <c r="Y15" s="16"/>
      <c r="Z15" s="16" t="s">
        <v>3960</v>
      </c>
      <c r="AA15" s="16"/>
      <c r="AB15" s="16"/>
      <c r="AC15" s="16"/>
      <c r="AD15" s="16" t="s">
        <v>3960</v>
      </c>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row>
    <row r="16" spans="1:57" ht="15" customHeight="1" x14ac:dyDescent="0.25">
      <c r="A16" s="17" t="s">
        <v>621</v>
      </c>
      <c r="B16" s="17" t="s">
        <v>622</v>
      </c>
      <c r="C16" s="16"/>
      <c r="D16" s="16"/>
      <c r="E16" s="16"/>
      <c r="F16" s="16"/>
      <c r="G16" s="16"/>
      <c r="H16" s="16"/>
      <c r="I16" s="16"/>
      <c r="J16" s="16" t="s">
        <v>3960</v>
      </c>
      <c r="K16" s="16"/>
      <c r="L16" s="16"/>
      <c r="M16" s="16"/>
      <c r="N16" s="16" t="s">
        <v>3960</v>
      </c>
      <c r="O16" s="16"/>
      <c r="P16" s="16"/>
      <c r="Q16" s="16"/>
      <c r="R16" s="16"/>
      <c r="S16" s="16"/>
      <c r="T16" s="16"/>
      <c r="U16" s="16"/>
      <c r="V16" s="16"/>
      <c r="W16" s="16"/>
      <c r="X16" s="16"/>
      <c r="Y16" s="16"/>
      <c r="Z16" s="16"/>
      <c r="AA16" s="16"/>
      <c r="AB16" s="16"/>
      <c r="AC16" s="16"/>
      <c r="AD16" s="16" t="s">
        <v>3960</v>
      </c>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row>
    <row r="17" spans="1:57" ht="15" customHeight="1" x14ac:dyDescent="0.25">
      <c r="A17" s="17" t="s">
        <v>632</v>
      </c>
      <c r="B17" s="17" t="s">
        <v>633</v>
      </c>
      <c r="C17" s="16"/>
      <c r="D17" s="16"/>
      <c r="E17" s="16"/>
      <c r="F17" s="16"/>
      <c r="G17" s="16"/>
      <c r="H17" s="16"/>
      <c r="I17" s="16"/>
      <c r="J17" s="16"/>
      <c r="K17" s="16"/>
      <c r="L17" s="16"/>
      <c r="M17" s="16"/>
      <c r="N17" s="16" t="s">
        <v>3960</v>
      </c>
      <c r="O17" s="16" t="s">
        <v>3960</v>
      </c>
      <c r="P17" s="16"/>
      <c r="Q17" s="16"/>
      <c r="R17" s="16"/>
      <c r="S17" s="16"/>
      <c r="T17" s="16"/>
      <c r="U17" s="16"/>
      <c r="V17" s="16" t="s">
        <v>3960</v>
      </c>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row>
    <row r="18" spans="1:57" ht="15" customHeight="1" x14ac:dyDescent="0.25">
      <c r="A18" s="17" t="s">
        <v>641</v>
      </c>
      <c r="B18" s="17" t="s">
        <v>642</v>
      </c>
      <c r="C18" s="16" t="s">
        <v>3960</v>
      </c>
      <c r="D18" s="16"/>
      <c r="E18" s="16"/>
      <c r="F18" s="16"/>
      <c r="G18" s="16"/>
      <c r="H18" s="16"/>
      <c r="I18" s="16"/>
      <c r="J18" s="16"/>
      <c r="K18" s="16" t="s">
        <v>3960</v>
      </c>
      <c r="L18" s="16"/>
      <c r="M18" s="16"/>
      <c r="N18" s="16"/>
      <c r="O18" s="16"/>
      <c r="P18" s="16"/>
      <c r="Q18" s="16"/>
      <c r="R18" s="16"/>
      <c r="S18" s="16"/>
      <c r="T18" s="16"/>
      <c r="U18" s="16"/>
      <c r="V18" s="16"/>
      <c r="W18" s="16"/>
      <c r="X18" s="16"/>
      <c r="Y18" s="16"/>
      <c r="Z18" s="16"/>
      <c r="AA18" s="16"/>
      <c r="AB18" s="16"/>
      <c r="AC18" s="16"/>
      <c r="AD18" s="16" t="s">
        <v>3960</v>
      </c>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row>
    <row r="19" spans="1:57" ht="15" customHeight="1" x14ac:dyDescent="0.25">
      <c r="A19" s="17" t="s">
        <v>652</v>
      </c>
      <c r="B19" s="17" t="s">
        <v>653</v>
      </c>
      <c r="C19" s="16"/>
      <c r="D19" s="16"/>
      <c r="E19" s="16"/>
      <c r="F19" s="16"/>
      <c r="G19" s="16"/>
      <c r="H19" s="16"/>
      <c r="I19" s="16"/>
      <c r="J19" s="16"/>
      <c r="K19" s="16"/>
      <c r="L19" s="16"/>
      <c r="M19" s="16"/>
      <c r="N19" s="16"/>
      <c r="O19" s="16"/>
      <c r="P19" s="16"/>
      <c r="Q19" s="16"/>
      <c r="R19" s="16"/>
      <c r="S19" s="16" t="s">
        <v>3960</v>
      </c>
      <c r="T19" s="16"/>
      <c r="U19" s="16" t="s">
        <v>3960</v>
      </c>
      <c r="V19" s="16"/>
      <c r="W19" s="16"/>
      <c r="X19" s="16"/>
      <c r="Y19" s="16"/>
      <c r="Z19" s="16"/>
      <c r="AA19" s="16"/>
      <c r="AB19" s="16"/>
      <c r="AC19" s="16"/>
      <c r="AD19" s="16" t="s">
        <v>3960</v>
      </c>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row>
    <row r="20" spans="1:57" ht="15" customHeight="1" x14ac:dyDescent="0.25">
      <c r="A20" s="17" t="s">
        <v>661</v>
      </c>
      <c r="B20" s="17" t="s">
        <v>662</v>
      </c>
      <c r="C20" s="16"/>
      <c r="D20" s="16"/>
      <c r="E20" s="16"/>
      <c r="F20" s="16"/>
      <c r="G20" s="16"/>
      <c r="H20" s="16"/>
      <c r="I20" s="16"/>
      <c r="J20" s="16" t="s">
        <v>3960</v>
      </c>
      <c r="K20" s="16"/>
      <c r="L20" s="16"/>
      <c r="M20" s="16"/>
      <c r="N20" s="16" t="s">
        <v>3960</v>
      </c>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row>
    <row r="21" spans="1:57" ht="15" customHeight="1" x14ac:dyDescent="0.25">
      <c r="A21" s="17" t="s">
        <v>669</v>
      </c>
      <c r="B21" s="17" t="s">
        <v>670</v>
      </c>
      <c r="C21" s="16"/>
      <c r="D21" s="16"/>
      <c r="E21" s="16"/>
      <c r="F21" s="16"/>
      <c r="G21" s="16"/>
      <c r="H21" s="16"/>
      <c r="I21" s="16"/>
      <c r="J21" s="16"/>
      <c r="K21" s="16"/>
      <c r="L21" s="16"/>
      <c r="M21" s="16"/>
      <c r="N21" s="16" t="s">
        <v>3960</v>
      </c>
      <c r="O21" s="16" t="s">
        <v>3960</v>
      </c>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row>
    <row r="22" spans="1:57" ht="15" customHeight="1" x14ac:dyDescent="0.25">
      <c r="A22" s="17" t="s">
        <v>680</v>
      </c>
      <c r="B22" s="17" t="s">
        <v>681</v>
      </c>
      <c r="C22" s="16"/>
      <c r="D22" s="16" t="s">
        <v>3960</v>
      </c>
      <c r="E22" s="16"/>
      <c r="F22" s="16"/>
      <c r="G22" s="16"/>
      <c r="H22" s="16"/>
      <c r="I22" s="16"/>
      <c r="J22" s="16"/>
      <c r="K22" s="16"/>
      <c r="L22" s="16"/>
      <c r="M22" s="16"/>
      <c r="N22" s="16" t="s">
        <v>3960</v>
      </c>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row>
    <row r="23" spans="1:57" ht="15" customHeight="1" x14ac:dyDescent="0.25">
      <c r="A23" s="17" t="s">
        <v>692</v>
      </c>
      <c r="B23" s="17" t="s">
        <v>693</v>
      </c>
      <c r="C23" s="16"/>
      <c r="D23" s="16"/>
      <c r="E23" s="16"/>
      <c r="F23" s="16"/>
      <c r="G23" s="16"/>
      <c r="H23" s="16"/>
      <c r="I23" s="16"/>
      <c r="J23" s="16"/>
      <c r="K23" s="16"/>
      <c r="L23" s="16"/>
      <c r="M23" s="16"/>
      <c r="N23" s="16" t="s">
        <v>3960</v>
      </c>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t="s">
        <v>3960</v>
      </c>
      <c r="AN23" s="16"/>
      <c r="AO23" s="16"/>
      <c r="AP23" s="16"/>
      <c r="AQ23" s="16"/>
      <c r="AR23" s="16"/>
      <c r="AS23" s="16"/>
      <c r="AT23" s="16"/>
      <c r="AU23" s="16"/>
      <c r="AV23" s="16"/>
      <c r="AW23" s="16"/>
      <c r="AX23" s="16"/>
      <c r="AY23" s="16"/>
      <c r="AZ23" s="16"/>
      <c r="BA23" s="16"/>
      <c r="BB23" s="16"/>
      <c r="BC23" s="16"/>
      <c r="BD23" s="16"/>
      <c r="BE23" s="16"/>
    </row>
    <row r="24" spans="1:57" ht="15" customHeight="1" x14ac:dyDescent="0.25">
      <c r="A24" s="17" t="s">
        <v>704</v>
      </c>
      <c r="B24" s="17" t="s">
        <v>705</v>
      </c>
      <c r="C24" s="16"/>
      <c r="D24" s="16"/>
      <c r="E24" s="16"/>
      <c r="F24" s="16"/>
      <c r="G24" s="16"/>
      <c r="H24" s="16"/>
      <c r="I24" s="16"/>
      <c r="J24" s="16" t="s">
        <v>3960</v>
      </c>
      <c r="K24" s="16"/>
      <c r="L24" s="16"/>
      <c r="M24" s="16"/>
      <c r="N24" s="16"/>
      <c r="O24" s="16"/>
      <c r="P24" s="16"/>
      <c r="Q24" s="16"/>
      <c r="R24" s="16"/>
      <c r="S24" s="16"/>
      <c r="T24" s="16"/>
      <c r="U24" s="16"/>
      <c r="V24" s="16" t="s">
        <v>3960</v>
      </c>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row>
    <row r="25" spans="1:57" ht="15" customHeight="1" x14ac:dyDescent="0.25">
      <c r="A25" s="17" t="s">
        <v>717</v>
      </c>
      <c r="B25" s="17" t="s">
        <v>719</v>
      </c>
      <c r="C25" s="16"/>
      <c r="D25" s="16"/>
      <c r="E25" s="16"/>
      <c r="F25" s="16"/>
      <c r="G25" s="16"/>
      <c r="H25" s="16"/>
      <c r="I25" s="16"/>
      <c r="J25" s="16"/>
      <c r="K25" s="16"/>
      <c r="L25" s="16"/>
      <c r="M25" s="16"/>
      <c r="N25" s="16"/>
      <c r="O25" s="16"/>
      <c r="P25" s="16"/>
      <c r="Q25" s="16"/>
      <c r="R25" s="16"/>
      <c r="S25" s="16"/>
      <c r="T25" s="16"/>
      <c r="U25" s="16"/>
      <c r="V25" s="16"/>
      <c r="W25" s="16"/>
      <c r="X25" s="16"/>
      <c r="Y25" s="16"/>
      <c r="Z25" s="16" t="s">
        <v>3960</v>
      </c>
      <c r="AA25" s="16"/>
      <c r="AB25" s="16"/>
      <c r="AC25" s="16"/>
      <c r="AD25" s="16"/>
      <c r="AE25" s="16" t="s">
        <v>3960</v>
      </c>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row>
    <row r="26" spans="1:57" ht="15" customHeight="1" x14ac:dyDescent="0.25">
      <c r="A26" s="17" t="s">
        <v>728</v>
      </c>
      <c r="B26" s="17" t="s">
        <v>729</v>
      </c>
      <c r="C26" s="16"/>
      <c r="D26" s="16"/>
      <c r="E26" s="16"/>
      <c r="F26" s="16"/>
      <c r="G26" s="16"/>
      <c r="H26" s="16"/>
      <c r="I26" s="16"/>
      <c r="J26" s="16"/>
      <c r="K26" s="16"/>
      <c r="L26" s="16"/>
      <c r="M26" s="16"/>
      <c r="N26" s="16"/>
      <c r="O26" s="16"/>
      <c r="P26" s="16"/>
      <c r="Q26" s="16"/>
      <c r="R26" s="16"/>
      <c r="S26" s="16"/>
      <c r="T26" s="16"/>
      <c r="U26" s="16"/>
      <c r="V26" s="16" t="s">
        <v>3960</v>
      </c>
      <c r="W26" s="16"/>
      <c r="X26" s="16"/>
      <c r="Y26" s="16"/>
      <c r="Z26" s="16"/>
      <c r="AA26" s="16"/>
      <c r="AB26" s="16"/>
      <c r="AC26" s="16"/>
      <c r="AD26" s="16"/>
      <c r="AE26" s="16" t="s">
        <v>3960</v>
      </c>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row>
    <row r="27" spans="1:57" ht="15" customHeight="1" x14ac:dyDescent="0.25">
      <c r="A27" s="17" t="s">
        <v>739</v>
      </c>
      <c r="B27" s="17" t="s">
        <v>740</v>
      </c>
      <c r="C27" s="16"/>
      <c r="D27" s="16" t="s">
        <v>3960</v>
      </c>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t="s">
        <v>3960</v>
      </c>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row>
    <row r="28" spans="1:57" ht="15" customHeight="1" x14ac:dyDescent="0.25">
      <c r="A28" s="17" t="s">
        <v>750</v>
      </c>
      <c r="B28" s="17" t="s">
        <v>751</v>
      </c>
      <c r="C28" s="16"/>
      <c r="D28" s="16"/>
      <c r="E28" s="16"/>
      <c r="F28" s="16"/>
      <c r="G28" s="16"/>
      <c r="H28" s="16"/>
      <c r="I28" s="16"/>
      <c r="J28" s="16"/>
      <c r="K28" s="16"/>
      <c r="L28" s="16"/>
      <c r="M28" s="16"/>
      <c r="N28" s="16"/>
      <c r="O28" s="16"/>
      <c r="P28" s="16"/>
      <c r="Q28" s="16"/>
      <c r="R28" s="16"/>
      <c r="S28" s="16"/>
      <c r="T28" s="16"/>
      <c r="U28" s="16"/>
      <c r="V28" s="16"/>
      <c r="W28" s="16"/>
      <c r="X28" s="16"/>
      <c r="Y28" s="16"/>
      <c r="Z28" s="16" t="s">
        <v>3960</v>
      </c>
      <c r="AA28" s="16"/>
      <c r="AB28" s="16"/>
      <c r="AC28" s="16"/>
      <c r="AD28" s="16"/>
      <c r="AE28" s="16" t="s">
        <v>3960</v>
      </c>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row>
    <row r="29" spans="1:57" ht="15" customHeight="1" x14ac:dyDescent="0.25">
      <c r="A29" s="17" t="s">
        <v>759</v>
      </c>
      <c r="B29" s="17" t="s">
        <v>760</v>
      </c>
      <c r="C29" s="16"/>
      <c r="D29" s="16"/>
      <c r="E29" s="16"/>
      <c r="F29" s="16"/>
      <c r="G29" s="16"/>
      <c r="H29" s="16"/>
      <c r="I29" s="16"/>
      <c r="J29" s="16"/>
      <c r="K29" s="16" t="s">
        <v>3960</v>
      </c>
      <c r="L29" s="16"/>
      <c r="M29" s="16"/>
      <c r="N29" s="16"/>
      <c r="O29" s="16"/>
      <c r="P29" s="16"/>
      <c r="Q29" s="16"/>
      <c r="R29" s="16"/>
      <c r="S29" s="16"/>
      <c r="T29" s="16"/>
      <c r="U29" s="16"/>
      <c r="V29" s="16"/>
      <c r="W29" s="16"/>
      <c r="X29" s="16"/>
      <c r="Y29" s="16"/>
      <c r="Z29" s="16" t="s">
        <v>3960</v>
      </c>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row>
    <row r="30" spans="1:57" ht="15" customHeight="1" x14ac:dyDescent="0.25">
      <c r="A30" s="17" t="s">
        <v>768</v>
      </c>
      <c r="B30" s="17" t="s">
        <v>769</v>
      </c>
      <c r="C30" s="16"/>
      <c r="D30" s="16"/>
      <c r="E30" s="16"/>
      <c r="F30" s="16"/>
      <c r="G30" s="16"/>
      <c r="H30" s="16"/>
      <c r="I30" s="16"/>
      <c r="J30" s="16"/>
      <c r="K30" s="16"/>
      <c r="L30" s="16"/>
      <c r="M30" s="16" t="s">
        <v>3960</v>
      </c>
      <c r="N30" s="16"/>
      <c r="O30" s="16"/>
      <c r="P30" s="16"/>
      <c r="Q30" s="16"/>
      <c r="R30" s="16"/>
      <c r="S30" s="16"/>
      <c r="T30" s="16"/>
      <c r="U30" s="16"/>
      <c r="V30" s="16"/>
      <c r="W30" s="16"/>
      <c r="X30" s="16"/>
      <c r="Y30" s="16"/>
      <c r="Z30" s="16"/>
      <c r="AA30" s="16"/>
      <c r="AB30" s="16"/>
      <c r="AC30" s="16"/>
      <c r="AD30" s="16"/>
      <c r="AE30" s="16" t="s">
        <v>3960</v>
      </c>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row>
    <row r="31" spans="1:57" ht="15" customHeight="1" x14ac:dyDescent="0.25">
      <c r="A31" s="17" t="s">
        <v>777</v>
      </c>
      <c r="B31" s="17" t="s">
        <v>778</v>
      </c>
      <c r="C31" s="16"/>
      <c r="D31" s="16"/>
      <c r="E31" s="16"/>
      <c r="F31" s="16"/>
      <c r="G31" s="16"/>
      <c r="H31" s="16"/>
      <c r="I31" s="16"/>
      <c r="J31" s="16"/>
      <c r="K31" s="16"/>
      <c r="L31" s="16"/>
      <c r="M31" s="16"/>
      <c r="N31" s="16" t="s">
        <v>3960</v>
      </c>
      <c r="O31" s="16"/>
      <c r="P31" s="16"/>
      <c r="Q31" s="16"/>
      <c r="R31" s="16" t="s">
        <v>3960</v>
      </c>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row>
    <row r="32" spans="1:57" ht="15" customHeight="1" x14ac:dyDescent="0.25">
      <c r="A32" s="17" t="s">
        <v>788</v>
      </c>
      <c r="B32" s="17" t="s">
        <v>789</v>
      </c>
      <c r="C32" s="16"/>
      <c r="D32" s="16" t="s">
        <v>3960</v>
      </c>
      <c r="E32" s="16"/>
      <c r="F32" s="16"/>
      <c r="G32" s="16"/>
      <c r="H32" s="16"/>
      <c r="I32" s="16"/>
      <c r="J32" s="16"/>
      <c r="K32" s="16"/>
      <c r="L32" s="16"/>
      <c r="M32" s="16"/>
      <c r="N32" s="16"/>
      <c r="O32" s="16"/>
      <c r="P32" s="16"/>
      <c r="Q32" s="16"/>
      <c r="R32" s="16"/>
      <c r="S32" s="16"/>
      <c r="T32" s="16"/>
      <c r="U32" s="16"/>
      <c r="V32" s="16"/>
      <c r="W32" s="16"/>
      <c r="X32" s="16"/>
      <c r="Y32" s="16"/>
      <c r="Z32" s="16" t="s">
        <v>3960</v>
      </c>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row>
    <row r="33" spans="1:57" ht="15" customHeight="1" x14ac:dyDescent="0.25">
      <c r="A33" s="17" t="s">
        <v>800</v>
      </c>
      <c r="B33" s="17" t="s">
        <v>802</v>
      </c>
      <c r="C33" s="16"/>
      <c r="D33" s="16"/>
      <c r="E33" s="16"/>
      <c r="F33" s="16"/>
      <c r="G33" s="16"/>
      <c r="H33" s="16"/>
      <c r="I33" s="16"/>
      <c r="J33" s="16"/>
      <c r="K33" s="16"/>
      <c r="L33" s="16"/>
      <c r="M33" s="16"/>
      <c r="N33" s="16"/>
      <c r="O33" s="16"/>
      <c r="P33" s="16"/>
      <c r="Q33" s="16"/>
      <c r="R33" s="16"/>
      <c r="S33" s="16"/>
      <c r="T33" s="16"/>
      <c r="U33" s="16"/>
      <c r="V33" s="16"/>
      <c r="W33" s="16"/>
      <c r="X33" s="16"/>
      <c r="Y33" s="16"/>
      <c r="Z33" s="16" t="s">
        <v>3960</v>
      </c>
      <c r="AA33" s="16"/>
      <c r="AB33" s="16"/>
      <c r="AC33" s="16"/>
      <c r="AD33" s="16"/>
      <c r="AE33" s="16"/>
      <c r="AF33" s="16"/>
      <c r="AG33" s="16"/>
      <c r="AH33" s="16"/>
      <c r="AI33" s="16"/>
      <c r="AJ33" s="16"/>
      <c r="AK33" s="16"/>
      <c r="AL33" s="16"/>
      <c r="AM33" s="16"/>
      <c r="AN33" s="16"/>
      <c r="AO33" s="16"/>
      <c r="AP33" s="16"/>
      <c r="AQ33" s="16"/>
      <c r="AR33" s="16"/>
      <c r="AS33" s="16"/>
      <c r="AT33" s="16"/>
      <c r="AU33" s="16"/>
      <c r="AV33" s="16"/>
      <c r="AW33" s="16" t="s">
        <v>3960</v>
      </c>
      <c r="AX33" s="16"/>
      <c r="AY33" s="16"/>
      <c r="AZ33" s="16"/>
      <c r="BA33" s="16"/>
      <c r="BB33" s="16"/>
      <c r="BC33" s="16"/>
      <c r="BD33" s="16"/>
      <c r="BE33" s="16"/>
    </row>
    <row r="34" spans="1:57" ht="15" customHeight="1" x14ac:dyDescent="0.25">
      <c r="A34" s="17" t="s">
        <v>811</v>
      </c>
      <c r="B34" s="17" t="s">
        <v>812</v>
      </c>
      <c r="C34" s="16"/>
      <c r="D34" s="16"/>
      <c r="E34" s="16"/>
      <c r="F34" s="16"/>
      <c r="G34" s="16"/>
      <c r="H34" s="16"/>
      <c r="I34" s="16"/>
      <c r="J34" s="16"/>
      <c r="K34" s="16"/>
      <c r="L34" s="16"/>
      <c r="M34" s="16"/>
      <c r="N34" s="16" t="s">
        <v>3960</v>
      </c>
      <c r="O34" s="16"/>
      <c r="P34" s="16"/>
      <c r="Q34" s="16"/>
      <c r="R34" s="16"/>
      <c r="S34" s="16"/>
      <c r="T34" s="16"/>
      <c r="U34" s="16"/>
      <c r="V34" s="16"/>
      <c r="W34" s="16"/>
      <c r="X34" s="16"/>
      <c r="Y34" s="16"/>
      <c r="Z34" s="16" t="s">
        <v>3960</v>
      </c>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row>
    <row r="35" spans="1:57" ht="15" customHeight="1" x14ac:dyDescent="0.25">
      <c r="A35" s="17" t="s">
        <v>822</v>
      </c>
      <c r="B35" s="17" t="s">
        <v>823</v>
      </c>
      <c r="C35" s="16" t="s">
        <v>3960</v>
      </c>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t="s">
        <v>3960</v>
      </c>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row>
    <row r="36" spans="1:57" ht="15" customHeight="1" x14ac:dyDescent="0.25">
      <c r="A36" s="17" t="s">
        <v>832</v>
      </c>
      <c r="B36" s="17" t="s">
        <v>833</v>
      </c>
      <c r="C36" s="16"/>
      <c r="D36" s="16"/>
      <c r="E36" s="16"/>
      <c r="F36" s="16"/>
      <c r="G36" s="16"/>
      <c r="H36" s="16"/>
      <c r="I36" s="16"/>
      <c r="J36" s="16"/>
      <c r="K36" s="16"/>
      <c r="L36" s="16"/>
      <c r="M36" s="16"/>
      <c r="N36" s="16"/>
      <c r="O36" s="16"/>
      <c r="P36" s="16"/>
      <c r="Q36" s="16"/>
      <c r="R36" s="16"/>
      <c r="S36" s="16"/>
      <c r="T36" s="16"/>
      <c r="U36" s="16" t="s">
        <v>3960</v>
      </c>
      <c r="V36" s="16"/>
      <c r="W36" s="16"/>
      <c r="X36" s="16"/>
      <c r="Y36" s="16"/>
      <c r="Z36" s="16" t="s">
        <v>3960</v>
      </c>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row>
    <row r="37" spans="1:57" ht="27" customHeight="1" x14ac:dyDescent="0.25">
      <c r="A37" s="17" t="s">
        <v>841</v>
      </c>
      <c r="B37" s="17" t="s">
        <v>842</v>
      </c>
      <c r="C37" s="16"/>
      <c r="D37" s="16" t="s">
        <v>3960</v>
      </c>
      <c r="E37" s="16"/>
      <c r="F37" s="16"/>
      <c r="G37" s="16"/>
      <c r="H37" s="16"/>
      <c r="I37" s="16"/>
      <c r="J37" s="16"/>
      <c r="K37" s="16"/>
      <c r="L37" s="16"/>
      <c r="M37" s="16"/>
      <c r="N37" s="16" t="s">
        <v>3960</v>
      </c>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row>
    <row r="38" spans="1:57" ht="15" customHeight="1" x14ac:dyDescent="0.25">
      <c r="A38" s="17" t="s">
        <v>850</v>
      </c>
      <c r="B38" s="17" t="s">
        <v>852</v>
      </c>
      <c r="C38" s="16"/>
      <c r="D38" s="16"/>
      <c r="E38" s="16"/>
      <c r="F38" s="16"/>
      <c r="G38" s="16"/>
      <c r="H38" s="16"/>
      <c r="I38" s="16"/>
      <c r="J38" s="16"/>
      <c r="K38" s="16"/>
      <c r="L38" s="16"/>
      <c r="M38" s="16"/>
      <c r="N38" s="16"/>
      <c r="O38" s="16"/>
      <c r="P38" s="16"/>
      <c r="Q38" s="16"/>
      <c r="R38" s="16" t="s">
        <v>3960</v>
      </c>
      <c r="S38" s="16"/>
      <c r="T38" s="16"/>
      <c r="U38" s="16"/>
      <c r="V38" s="16"/>
      <c r="W38" s="16"/>
      <c r="X38" s="16"/>
      <c r="Y38" s="16"/>
      <c r="Z38" s="16"/>
      <c r="AA38" s="16"/>
      <c r="AB38" s="16"/>
      <c r="AC38" s="16"/>
      <c r="AD38" s="16"/>
      <c r="AE38" s="16"/>
      <c r="AF38" s="16" t="s">
        <v>3960</v>
      </c>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row>
    <row r="39" spans="1:57" ht="15" customHeight="1" x14ac:dyDescent="0.25">
      <c r="A39" s="17" t="s">
        <v>864</v>
      </c>
      <c r="B39" s="17" t="s">
        <v>865</v>
      </c>
      <c r="C39" s="16"/>
      <c r="D39" s="16"/>
      <c r="E39" s="16"/>
      <c r="F39" s="16"/>
      <c r="G39" s="16"/>
      <c r="H39" s="16"/>
      <c r="I39" s="16" t="s">
        <v>3960</v>
      </c>
      <c r="J39" s="16"/>
      <c r="K39" s="16"/>
      <c r="L39" s="16"/>
      <c r="M39" s="16"/>
      <c r="N39" s="16"/>
      <c r="O39" s="16"/>
      <c r="P39" s="16"/>
      <c r="Q39" s="16"/>
      <c r="R39" s="16"/>
      <c r="S39" s="16"/>
      <c r="T39" s="16"/>
      <c r="U39" s="16"/>
      <c r="V39" s="16"/>
      <c r="W39" s="16"/>
      <c r="X39" s="16"/>
      <c r="Y39" s="16"/>
      <c r="Z39" s="16"/>
      <c r="AA39" s="16"/>
      <c r="AB39" s="16"/>
      <c r="AC39" s="16"/>
      <c r="AD39" s="16"/>
      <c r="AE39" s="16"/>
      <c r="AF39" s="16" t="s">
        <v>3960</v>
      </c>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row>
    <row r="40" spans="1:57" ht="15" customHeight="1" x14ac:dyDescent="0.25">
      <c r="A40" s="17" t="s">
        <v>874</v>
      </c>
      <c r="B40" s="17" t="s">
        <v>875</v>
      </c>
      <c r="C40" s="16"/>
      <c r="D40" s="16"/>
      <c r="E40" s="16"/>
      <c r="F40" s="16"/>
      <c r="G40" s="16"/>
      <c r="H40" s="16"/>
      <c r="I40" s="16"/>
      <c r="J40" s="16"/>
      <c r="K40" s="16"/>
      <c r="L40" s="16"/>
      <c r="M40" s="16"/>
      <c r="N40" s="16"/>
      <c r="O40" s="16"/>
      <c r="P40" s="16"/>
      <c r="Q40" s="16"/>
      <c r="R40" s="16"/>
      <c r="S40" s="16"/>
      <c r="T40" s="16"/>
      <c r="U40" s="16"/>
      <c r="V40" s="16"/>
      <c r="W40" s="16"/>
      <c r="X40" s="16"/>
      <c r="Y40" s="16" t="s">
        <v>3960</v>
      </c>
      <c r="Z40" s="16"/>
      <c r="AA40" s="16"/>
      <c r="AB40" s="16"/>
      <c r="AC40" s="16"/>
      <c r="AD40" s="16"/>
      <c r="AE40" s="16"/>
      <c r="AF40" s="16" t="s">
        <v>3960</v>
      </c>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row>
    <row r="41" spans="1:57" ht="27" customHeight="1" x14ac:dyDescent="0.25">
      <c r="A41" s="17" t="s">
        <v>884</v>
      </c>
      <c r="B41" s="17" t="s">
        <v>885</v>
      </c>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t="s">
        <v>3960</v>
      </c>
      <c r="AG41" s="16"/>
      <c r="AH41" s="16"/>
      <c r="AI41" s="16"/>
      <c r="AJ41" s="16"/>
      <c r="AK41" s="16" t="s">
        <v>3960</v>
      </c>
      <c r="AL41" s="16"/>
      <c r="AM41" s="16"/>
      <c r="AN41" s="16"/>
      <c r="AO41" s="16"/>
      <c r="AP41" s="16"/>
      <c r="AQ41" s="16"/>
      <c r="AR41" s="16"/>
      <c r="AS41" s="16"/>
      <c r="AT41" s="16"/>
      <c r="AU41" s="16"/>
      <c r="AV41" s="16"/>
      <c r="AW41" s="16"/>
      <c r="AX41" s="16"/>
      <c r="AY41" s="16"/>
      <c r="AZ41" s="16"/>
      <c r="BA41" s="16"/>
      <c r="BB41" s="16"/>
      <c r="BC41" s="16"/>
      <c r="BD41" s="16"/>
      <c r="BE41" s="16"/>
    </row>
    <row r="42" spans="1:57" ht="15" customHeight="1" x14ac:dyDescent="0.25">
      <c r="A42" s="17" t="s">
        <v>895</v>
      </c>
      <c r="B42" s="17" t="s">
        <v>897</v>
      </c>
      <c r="C42" s="16" t="s">
        <v>3960</v>
      </c>
      <c r="D42" s="16"/>
      <c r="E42" s="16"/>
      <c r="F42" s="16"/>
      <c r="G42" s="16"/>
      <c r="H42" s="16"/>
      <c r="I42" s="16"/>
      <c r="J42" s="16"/>
      <c r="K42" s="16" t="s">
        <v>3960</v>
      </c>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row>
    <row r="43" spans="1:57" ht="15" customHeight="1" x14ac:dyDescent="0.25">
      <c r="A43" s="17" t="s">
        <v>907</v>
      </c>
      <c r="B43" s="17" t="s">
        <v>908</v>
      </c>
      <c r="C43" s="16"/>
      <c r="D43" s="16"/>
      <c r="E43" s="16"/>
      <c r="F43" s="16"/>
      <c r="G43" s="16"/>
      <c r="H43" s="16"/>
      <c r="I43" s="16"/>
      <c r="J43" s="16"/>
      <c r="K43" s="16" t="s">
        <v>3960</v>
      </c>
      <c r="L43" s="16"/>
      <c r="M43" s="16"/>
      <c r="N43" s="16"/>
      <c r="O43" s="16"/>
      <c r="P43" s="16"/>
      <c r="Q43" s="16"/>
      <c r="R43" s="16"/>
      <c r="S43" s="16"/>
      <c r="T43" s="16"/>
      <c r="U43" s="16"/>
      <c r="V43" s="16"/>
      <c r="W43" s="16"/>
      <c r="X43" s="16" t="s">
        <v>3960</v>
      </c>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row>
    <row r="44" spans="1:57" ht="15" customHeight="1" x14ac:dyDescent="0.25">
      <c r="A44" s="17" t="s">
        <v>918</v>
      </c>
      <c r="B44" s="17" t="s">
        <v>919</v>
      </c>
      <c r="C44" s="16"/>
      <c r="D44" s="16"/>
      <c r="E44" s="16"/>
      <c r="F44" s="16"/>
      <c r="G44" s="16"/>
      <c r="H44" s="16"/>
      <c r="I44" s="16"/>
      <c r="J44" s="16"/>
      <c r="K44" s="16"/>
      <c r="L44" s="16"/>
      <c r="M44" s="16" t="s">
        <v>3960</v>
      </c>
      <c r="N44" s="16"/>
      <c r="O44" s="16"/>
      <c r="P44" s="16"/>
      <c r="Q44" s="16"/>
      <c r="R44" s="16"/>
      <c r="S44" s="16" t="s">
        <v>3960</v>
      </c>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row>
    <row r="45" spans="1:57" ht="15" customHeight="1" x14ac:dyDescent="0.25">
      <c r="A45" s="17" t="s">
        <v>929</v>
      </c>
      <c r="B45" s="17" t="s">
        <v>930</v>
      </c>
      <c r="C45" s="16"/>
      <c r="D45" s="16"/>
      <c r="E45" s="16"/>
      <c r="F45" s="16"/>
      <c r="G45" s="16"/>
      <c r="H45" s="16"/>
      <c r="I45" s="16"/>
      <c r="J45" s="16"/>
      <c r="K45" s="16"/>
      <c r="L45" s="16"/>
      <c r="M45" s="16"/>
      <c r="N45" s="16" t="s">
        <v>3960</v>
      </c>
      <c r="O45" s="16"/>
      <c r="P45" s="16"/>
      <c r="Q45" s="16"/>
      <c r="R45" s="16"/>
      <c r="S45" s="16"/>
      <c r="T45" s="16"/>
      <c r="U45" s="16"/>
      <c r="V45" s="16" t="s">
        <v>3960</v>
      </c>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row>
    <row r="46" spans="1:57" ht="15" customHeight="1" x14ac:dyDescent="0.25">
      <c r="A46" s="17" t="s">
        <v>939</v>
      </c>
      <c r="B46" s="17" t="s">
        <v>940</v>
      </c>
      <c r="C46" s="16"/>
      <c r="D46" s="16"/>
      <c r="E46" s="16"/>
      <c r="F46" s="16"/>
      <c r="G46" s="16"/>
      <c r="H46" s="16"/>
      <c r="I46" s="16"/>
      <c r="J46" s="16"/>
      <c r="K46" s="16"/>
      <c r="L46" s="16"/>
      <c r="M46" s="16"/>
      <c r="N46" s="16" t="s">
        <v>3960</v>
      </c>
      <c r="O46" s="16"/>
      <c r="P46" s="16"/>
      <c r="Q46" s="16" t="s">
        <v>3960</v>
      </c>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row>
    <row r="47" spans="1:57" ht="15" customHeight="1" x14ac:dyDescent="0.25">
      <c r="A47" s="17" t="s">
        <v>952</v>
      </c>
      <c r="B47" s="17" t="s">
        <v>954</v>
      </c>
      <c r="C47" s="16" t="s">
        <v>3960</v>
      </c>
      <c r="D47" s="16"/>
      <c r="E47" s="16"/>
      <c r="F47" s="16"/>
      <c r="G47" s="16"/>
      <c r="H47" s="16"/>
      <c r="I47" s="16"/>
      <c r="J47" s="16"/>
      <c r="K47" s="16"/>
      <c r="L47" s="16"/>
      <c r="M47" s="16" t="s">
        <v>3960</v>
      </c>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row>
    <row r="48" spans="1:57" ht="15" customHeight="1" x14ac:dyDescent="0.25">
      <c r="A48" s="17" t="s">
        <v>963</v>
      </c>
      <c r="B48" s="17" t="s">
        <v>964</v>
      </c>
      <c r="C48" s="16" t="s">
        <v>3960</v>
      </c>
      <c r="D48" s="16"/>
      <c r="E48" s="16"/>
      <c r="F48" s="16"/>
      <c r="G48" s="16"/>
      <c r="H48" s="16" t="s">
        <v>3960</v>
      </c>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t="s">
        <v>3960</v>
      </c>
      <c r="AO48" s="16"/>
      <c r="AP48" s="16"/>
      <c r="AQ48" s="16"/>
      <c r="AR48" s="16"/>
      <c r="AS48" s="16"/>
      <c r="AT48" s="16"/>
      <c r="AU48" s="16"/>
      <c r="AV48" s="16"/>
      <c r="AW48" s="16"/>
      <c r="AX48" s="16"/>
      <c r="AY48" s="16"/>
      <c r="AZ48" s="16"/>
      <c r="BA48" s="16"/>
      <c r="BB48" s="16"/>
      <c r="BC48" s="16"/>
      <c r="BD48" s="16"/>
      <c r="BE48" s="16"/>
    </row>
    <row r="49" spans="1:57" ht="15" customHeight="1" x14ac:dyDescent="0.25">
      <c r="A49" s="17" t="s">
        <v>975</v>
      </c>
      <c r="B49" s="17" t="s">
        <v>976</v>
      </c>
      <c r="C49" s="16"/>
      <c r="D49" s="16"/>
      <c r="E49" s="16"/>
      <c r="F49" s="16"/>
      <c r="G49" s="16"/>
      <c r="H49" s="16" t="s">
        <v>3960</v>
      </c>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t="s">
        <v>3960</v>
      </c>
      <c r="AO49" s="16"/>
      <c r="AP49" s="16"/>
      <c r="AQ49" s="16"/>
      <c r="AR49" s="16"/>
      <c r="AS49" s="16"/>
      <c r="AT49" s="16"/>
      <c r="AU49" s="16"/>
      <c r="AV49" s="16"/>
      <c r="AW49" s="16"/>
      <c r="AX49" s="16"/>
      <c r="AY49" s="16"/>
      <c r="AZ49" s="16"/>
      <c r="BA49" s="16"/>
      <c r="BB49" s="16"/>
      <c r="BC49" s="16"/>
      <c r="BD49" s="16"/>
      <c r="BE49" s="16"/>
    </row>
    <row r="50" spans="1:57" ht="15" customHeight="1" x14ac:dyDescent="0.25">
      <c r="A50" s="17" t="s">
        <v>986</v>
      </c>
      <c r="B50" s="17" t="s">
        <v>987</v>
      </c>
      <c r="C50" s="16"/>
      <c r="D50" s="16"/>
      <c r="E50" s="16"/>
      <c r="F50" s="16"/>
      <c r="G50" s="16"/>
      <c r="H50" s="16" t="s">
        <v>3960</v>
      </c>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t="s">
        <v>3960</v>
      </c>
    </row>
    <row r="51" spans="1:57" ht="27" customHeight="1" x14ac:dyDescent="0.25">
      <c r="A51" s="17" t="s">
        <v>998</v>
      </c>
      <c r="B51" s="17" t="s">
        <v>999</v>
      </c>
      <c r="C51" s="16"/>
      <c r="D51" s="16"/>
      <c r="E51" s="16"/>
      <c r="F51" s="16"/>
      <c r="G51" s="16"/>
      <c r="H51" s="16"/>
      <c r="I51" s="16"/>
      <c r="J51" s="16"/>
      <c r="K51" s="16"/>
      <c r="L51" s="16"/>
      <c r="M51" s="16"/>
      <c r="N51" s="16"/>
      <c r="O51" s="16"/>
      <c r="P51" s="16"/>
      <c r="Q51" s="16" t="s">
        <v>3960</v>
      </c>
      <c r="R51" s="16"/>
      <c r="S51" s="16"/>
      <c r="T51" s="16"/>
      <c r="U51" s="16"/>
      <c r="V51" s="16"/>
      <c r="W51" s="16"/>
      <c r="X51" s="16"/>
      <c r="Y51" s="16"/>
      <c r="Z51" s="16"/>
      <c r="AA51" s="16"/>
      <c r="AB51" s="16"/>
      <c r="AC51" s="16"/>
      <c r="AD51" s="16"/>
      <c r="AE51" s="16"/>
      <c r="AF51" s="16"/>
      <c r="AG51" s="16"/>
      <c r="AH51" s="16"/>
      <c r="AI51" s="16"/>
      <c r="AJ51" s="16"/>
      <c r="AK51" s="16"/>
      <c r="AL51" s="16"/>
      <c r="AM51" s="16"/>
      <c r="AN51" s="16" t="s">
        <v>3960</v>
      </c>
      <c r="AO51" s="16"/>
      <c r="AP51" s="16"/>
      <c r="AQ51" s="16"/>
      <c r="AR51" s="16"/>
      <c r="AS51" s="16"/>
      <c r="AT51" s="16"/>
      <c r="AU51" s="16"/>
      <c r="AV51" s="16"/>
      <c r="AW51" s="16"/>
      <c r="AX51" s="16"/>
      <c r="AY51" s="16"/>
      <c r="AZ51" s="16"/>
      <c r="BA51" s="16"/>
      <c r="BB51" s="16"/>
      <c r="BC51" s="16"/>
      <c r="BD51" s="16"/>
      <c r="BE51" s="16"/>
    </row>
    <row r="52" spans="1:57" ht="15" customHeight="1" x14ac:dyDescent="0.25">
      <c r="A52" s="17" t="s">
        <v>1009</v>
      </c>
      <c r="B52" s="17" t="s">
        <v>1010</v>
      </c>
      <c r="C52" s="16"/>
      <c r="D52" s="16"/>
      <c r="E52" s="16"/>
      <c r="F52" s="16"/>
      <c r="G52" s="16"/>
      <c r="H52" s="16"/>
      <c r="I52" s="16"/>
      <c r="J52" s="16"/>
      <c r="K52" s="16"/>
      <c r="L52" s="16"/>
      <c r="M52" s="16"/>
      <c r="N52" s="16"/>
      <c r="O52" s="16"/>
      <c r="P52" s="16" t="s">
        <v>3960</v>
      </c>
      <c r="Q52" s="16" t="s">
        <v>3960</v>
      </c>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row>
    <row r="53" spans="1:57" ht="27" customHeight="1" x14ac:dyDescent="0.25">
      <c r="A53" s="17" t="s">
        <v>1018</v>
      </c>
      <c r="B53" s="17" t="s">
        <v>1019</v>
      </c>
      <c r="C53" s="16"/>
      <c r="D53" s="16"/>
      <c r="E53" s="16"/>
      <c r="F53" s="16"/>
      <c r="G53" s="16"/>
      <c r="H53" s="16"/>
      <c r="I53" s="16"/>
      <c r="J53" s="16"/>
      <c r="K53" s="16"/>
      <c r="L53" s="16"/>
      <c r="M53" s="16"/>
      <c r="N53" s="16" t="s">
        <v>3960</v>
      </c>
      <c r="O53" s="16"/>
      <c r="P53" s="16"/>
      <c r="Q53" s="16" t="s">
        <v>3960</v>
      </c>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row>
    <row r="54" spans="1:57" ht="27" customHeight="1" x14ac:dyDescent="0.25">
      <c r="A54" s="17" t="s">
        <v>1028</v>
      </c>
      <c r="B54" s="17" t="s">
        <v>1029</v>
      </c>
      <c r="C54" s="16"/>
      <c r="D54" s="16"/>
      <c r="E54" s="16"/>
      <c r="F54" s="16"/>
      <c r="G54" s="16"/>
      <c r="H54" s="16"/>
      <c r="I54" s="16"/>
      <c r="J54" s="16"/>
      <c r="K54" s="16"/>
      <c r="L54" s="16"/>
      <c r="M54" s="16"/>
      <c r="N54" s="16"/>
      <c r="O54" s="16"/>
      <c r="P54" s="16"/>
      <c r="Q54" s="16" t="s">
        <v>3960</v>
      </c>
      <c r="R54" s="16"/>
      <c r="S54" s="16"/>
      <c r="T54" s="16" t="s">
        <v>3960</v>
      </c>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row>
    <row r="55" spans="1:57" ht="15" customHeight="1" x14ac:dyDescent="0.25">
      <c r="A55" s="17" t="s">
        <v>1039</v>
      </c>
      <c r="B55" s="17" t="s">
        <v>1041</v>
      </c>
      <c r="C55" s="16"/>
      <c r="D55" s="16"/>
      <c r="E55" s="16"/>
      <c r="F55" s="16"/>
      <c r="G55" s="16"/>
      <c r="H55" s="16"/>
      <c r="I55" s="16"/>
      <c r="J55" s="16"/>
      <c r="K55" s="16"/>
      <c r="L55" s="16"/>
      <c r="M55" s="16"/>
      <c r="N55" s="16"/>
      <c r="O55" s="16"/>
      <c r="P55" s="16"/>
      <c r="Q55" s="16"/>
      <c r="R55" s="16" t="s">
        <v>3960</v>
      </c>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t="s">
        <v>3960</v>
      </c>
      <c r="AQ55" s="16"/>
      <c r="AR55" s="16"/>
      <c r="AS55" s="16"/>
      <c r="AT55" s="16"/>
      <c r="AU55" s="16"/>
      <c r="AV55" s="16"/>
      <c r="AW55" s="16"/>
      <c r="AX55" s="16"/>
      <c r="AY55" s="16"/>
      <c r="AZ55" s="16"/>
      <c r="BA55" s="16"/>
      <c r="BB55" s="16"/>
      <c r="BC55" s="16"/>
      <c r="BD55" s="16"/>
      <c r="BE55" s="16"/>
    </row>
    <row r="56" spans="1:57" ht="15" customHeight="1" x14ac:dyDescent="0.25">
      <c r="A56" s="17" t="s">
        <v>1052</v>
      </c>
      <c r="B56" s="17" t="s">
        <v>1053</v>
      </c>
      <c r="C56" s="16"/>
      <c r="D56" s="16"/>
      <c r="E56" s="16"/>
      <c r="F56" s="16"/>
      <c r="G56" s="16"/>
      <c r="H56" s="16"/>
      <c r="I56" s="16" t="s">
        <v>3960</v>
      </c>
      <c r="J56" s="16"/>
      <c r="K56" s="16"/>
      <c r="L56" s="16"/>
      <c r="M56" s="16"/>
      <c r="N56" s="16"/>
      <c r="O56" s="16"/>
      <c r="P56" s="16"/>
      <c r="Q56" s="16"/>
      <c r="R56" s="16" t="s">
        <v>3960</v>
      </c>
      <c r="S56" s="16"/>
      <c r="T56" s="16"/>
      <c r="U56" s="16"/>
      <c r="V56" s="16"/>
      <c r="W56" s="16"/>
      <c r="X56" s="16"/>
      <c r="Y56" s="16"/>
      <c r="Z56" s="16"/>
      <c r="AA56" s="16"/>
      <c r="AB56" s="16"/>
      <c r="AC56" s="16"/>
      <c r="AD56" s="16"/>
      <c r="AE56" s="16"/>
      <c r="AF56" s="16"/>
      <c r="AG56" s="16" t="s">
        <v>3960</v>
      </c>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row>
    <row r="57" spans="1:57" ht="15" customHeight="1" x14ac:dyDescent="0.25">
      <c r="A57" s="17" t="s">
        <v>1063</v>
      </c>
      <c r="B57" s="17" t="s">
        <v>1064</v>
      </c>
      <c r="C57" s="16" t="s">
        <v>3960</v>
      </c>
      <c r="D57" s="16"/>
      <c r="E57" s="16"/>
      <c r="F57" s="16"/>
      <c r="G57" s="16"/>
      <c r="H57" s="16"/>
      <c r="I57" s="16"/>
      <c r="J57" s="16"/>
      <c r="K57" s="16"/>
      <c r="L57" s="16"/>
      <c r="M57" s="16"/>
      <c r="N57" s="16"/>
      <c r="O57" s="16"/>
      <c r="P57" s="16"/>
      <c r="Q57" s="16"/>
      <c r="R57" s="16" t="s">
        <v>3960</v>
      </c>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row>
    <row r="58" spans="1:57" ht="15" customHeight="1" x14ac:dyDescent="0.25">
      <c r="A58" s="17" t="s">
        <v>1073</v>
      </c>
      <c r="B58" s="17" t="s">
        <v>1074</v>
      </c>
      <c r="C58" s="16"/>
      <c r="D58" s="16"/>
      <c r="E58" s="16"/>
      <c r="F58" s="16"/>
      <c r="G58" s="16"/>
      <c r="H58" s="16"/>
      <c r="I58" s="16"/>
      <c r="J58" s="16"/>
      <c r="K58" s="16"/>
      <c r="L58" s="16"/>
      <c r="M58" s="16"/>
      <c r="N58" s="16"/>
      <c r="O58" s="16"/>
      <c r="P58" s="16"/>
      <c r="Q58" s="16"/>
      <c r="R58" s="16" t="s">
        <v>3960</v>
      </c>
      <c r="S58" s="16"/>
      <c r="T58" s="16"/>
      <c r="U58" s="16"/>
      <c r="V58" s="16" t="s">
        <v>3960</v>
      </c>
      <c r="W58" s="16"/>
      <c r="X58" s="16"/>
      <c r="Y58" s="16"/>
      <c r="Z58" s="16"/>
      <c r="AA58" s="16"/>
      <c r="AB58" s="16"/>
      <c r="AC58" s="16" t="s">
        <v>3960</v>
      </c>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row>
    <row r="59" spans="1:57" ht="15" customHeight="1" x14ac:dyDescent="0.25">
      <c r="A59" s="17" t="s">
        <v>1086</v>
      </c>
      <c r="B59" s="17" t="s">
        <v>1087</v>
      </c>
      <c r="C59" s="16"/>
      <c r="D59" s="16"/>
      <c r="E59" s="16"/>
      <c r="F59" s="16"/>
      <c r="G59" s="16"/>
      <c r="H59" s="16"/>
      <c r="I59" s="16"/>
      <c r="J59" s="16"/>
      <c r="K59" s="16"/>
      <c r="L59" s="16"/>
      <c r="M59" s="16"/>
      <c r="N59" s="16"/>
      <c r="O59" s="16"/>
      <c r="P59" s="16"/>
      <c r="Q59" s="16"/>
      <c r="R59" s="16" t="s">
        <v>3960</v>
      </c>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row>
    <row r="60" spans="1:57" ht="15" customHeight="1" x14ac:dyDescent="0.25">
      <c r="A60" s="17" t="s">
        <v>1097</v>
      </c>
      <c r="B60" s="17" t="s">
        <v>1098</v>
      </c>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t="s">
        <v>3960</v>
      </c>
      <c r="AH60" s="16" t="s">
        <v>3960</v>
      </c>
      <c r="AI60" s="16"/>
      <c r="AJ60" s="16"/>
      <c r="AK60" s="16"/>
      <c r="AL60" s="16"/>
      <c r="AM60" s="16"/>
      <c r="AN60" s="16"/>
      <c r="AO60" s="16"/>
      <c r="AP60" s="16"/>
      <c r="AQ60" s="16"/>
      <c r="AR60" s="16"/>
      <c r="AS60" s="16"/>
      <c r="AT60" s="16"/>
      <c r="AU60" s="16"/>
      <c r="AV60" s="16"/>
      <c r="AW60" s="16"/>
      <c r="AX60" s="16"/>
      <c r="AY60" s="16"/>
      <c r="AZ60" s="16"/>
      <c r="BA60" s="16"/>
      <c r="BB60" s="16"/>
      <c r="BC60" s="16"/>
      <c r="BD60" s="16"/>
      <c r="BE60" s="16"/>
    </row>
    <row r="61" spans="1:57" ht="15" customHeight="1" x14ac:dyDescent="0.25">
      <c r="A61" s="17" t="s">
        <v>1107</v>
      </c>
      <c r="B61" s="17" t="s">
        <v>1108</v>
      </c>
      <c r="C61" s="16"/>
      <c r="D61" s="16"/>
      <c r="E61" s="16"/>
      <c r="F61" s="16"/>
      <c r="G61" s="16"/>
      <c r="H61" s="16"/>
      <c r="I61" s="16"/>
      <c r="J61" s="16"/>
      <c r="K61" s="16"/>
      <c r="L61" s="16"/>
      <c r="M61" s="16"/>
      <c r="N61" s="16"/>
      <c r="O61" s="16"/>
      <c r="P61" s="16"/>
      <c r="Q61" s="16"/>
      <c r="R61" s="16" t="s">
        <v>3960</v>
      </c>
      <c r="S61" s="16"/>
      <c r="T61" s="16"/>
      <c r="U61" s="16"/>
      <c r="V61" s="16" t="s">
        <v>3960</v>
      </c>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row>
    <row r="62" spans="1:57" ht="15" customHeight="1" x14ac:dyDescent="0.25">
      <c r="A62" s="17" t="s">
        <v>1118</v>
      </c>
      <c r="B62" s="17" t="s">
        <v>1119</v>
      </c>
      <c r="C62" s="16"/>
      <c r="D62" s="16"/>
      <c r="E62" s="16"/>
      <c r="F62" s="16"/>
      <c r="G62" s="16"/>
      <c r="H62" s="16" t="s">
        <v>3960</v>
      </c>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t="s">
        <v>3960</v>
      </c>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row>
    <row r="63" spans="1:57" ht="15" customHeight="1" x14ac:dyDescent="0.25">
      <c r="A63" s="17" t="s">
        <v>1127</v>
      </c>
      <c r="B63" s="17" t="s">
        <v>1128</v>
      </c>
      <c r="C63" s="16"/>
      <c r="D63" s="16"/>
      <c r="E63" s="16"/>
      <c r="F63" s="16"/>
      <c r="G63" s="16"/>
      <c r="H63" s="16" t="s">
        <v>3960</v>
      </c>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t="s">
        <v>3960</v>
      </c>
      <c r="AI63" s="16"/>
      <c r="AJ63" s="16"/>
      <c r="AK63" s="16"/>
      <c r="AL63" s="16"/>
      <c r="AM63" s="16"/>
      <c r="AN63" s="16"/>
      <c r="AO63" s="16"/>
      <c r="AP63" s="16"/>
      <c r="AQ63" s="16"/>
      <c r="AR63" s="16"/>
      <c r="AS63" s="16"/>
      <c r="AT63" s="16"/>
      <c r="AU63" s="16"/>
      <c r="AV63" s="16"/>
      <c r="AW63" s="16"/>
      <c r="AX63" s="16"/>
      <c r="AY63" s="16"/>
      <c r="AZ63" s="16"/>
      <c r="BA63" s="16"/>
      <c r="BB63" s="16"/>
      <c r="BC63" s="16"/>
      <c r="BD63" s="16"/>
      <c r="BE63" s="16"/>
    </row>
    <row r="64" spans="1:57" ht="15" customHeight="1" x14ac:dyDescent="0.25">
      <c r="A64" s="17" t="s">
        <v>1137</v>
      </c>
      <c r="B64" s="17" t="s">
        <v>1138</v>
      </c>
      <c r="C64" s="16" t="s">
        <v>3960</v>
      </c>
      <c r="D64" s="16"/>
      <c r="E64" s="16"/>
      <c r="F64" s="16"/>
      <c r="G64" s="16"/>
      <c r="H64" s="16"/>
      <c r="I64" s="16"/>
      <c r="J64" s="16"/>
      <c r="K64" s="16"/>
      <c r="L64" s="16"/>
      <c r="M64" s="16"/>
      <c r="N64" s="16"/>
      <c r="O64" s="16"/>
      <c r="P64" s="16"/>
      <c r="Q64" s="16"/>
      <c r="R64" s="16" t="s">
        <v>3960</v>
      </c>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row>
    <row r="65" spans="1:57" ht="15" customHeight="1" x14ac:dyDescent="0.25">
      <c r="A65" s="17" t="s">
        <v>1146</v>
      </c>
      <c r="B65" s="17" t="s">
        <v>1147</v>
      </c>
      <c r="C65" s="16"/>
      <c r="D65" s="16"/>
      <c r="E65" s="16" t="s">
        <v>3960</v>
      </c>
      <c r="F65" s="16"/>
      <c r="G65" s="16"/>
      <c r="H65" s="16"/>
      <c r="I65" s="16"/>
      <c r="J65" s="16"/>
      <c r="K65" s="16"/>
      <c r="L65" s="16"/>
      <c r="M65" s="16"/>
      <c r="N65" s="16"/>
      <c r="O65" s="16"/>
      <c r="P65" s="16" t="s">
        <v>3960</v>
      </c>
      <c r="Q65" s="16"/>
      <c r="R65" s="16" t="s">
        <v>3960</v>
      </c>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row>
    <row r="66" spans="1:57" ht="27" customHeight="1" x14ac:dyDescent="0.25">
      <c r="A66" s="17" t="s">
        <v>1159</v>
      </c>
      <c r="B66" s="17" t="s">
        <v>1160</v>
      </c>
      <c r="C66" s="16"/>
      <c r="D66" s="16" t="s">
        <v>3960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t="s">
        <v>3960</v>
      </c>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row>
    <row r="67" spans="1:57" ht="15" customHeight="1" x14ac:dyDescent="0.25">
      <c r="A67" s="17" t="s">
        <v>1170</v>
      </c>
      <c r="B67" s="17" t="s">
        <v>1171</v>
      </c>
      <c r="C67" s="16"/>
      <c r="D67" s="16"/>
      <c r="E67" s="16"/>
      <c r="F67" s="16"/>
      <c r="G67" s="16"/>
      <c r="H67" s="16"/>
      <c r="I67" s="16"/>
      <c r="J67" s="16"/>
      <c r="K67" s="16"/>
      <c r="L67" s="16"/>
      <c r="M67" s="16"/>
      <c r="N67" s="16"/>
      <c r="O67" s="16"/>
      <c r="P67" s="16"/>
      <c r="Q67" s="16"/>
      <c r="R67" s="16" t="s">
        <v>3960</v>
      </c>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t="s">
        <v>3960</v>
      </c>
      <c r="BC67" s="16"/>
      <c r="BD67" s="16"/>
      <c r="BE67" s="16"/>
    </row>
    <row r="68" spans="1:57" ht="15" customHeight="1" x14ac:dyDescent="0.25">
      <c r="A68" s="17" t="s">
        <v>1181</v>
      </c>
      <c r="B68" s="17" t="s">
        <v>1183</v>
      </c>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t="s">
        <v>3960</v>
      </c>
      <c r="AQ68" s="16"/>
      <c r="AR68" s="16"/>
      <c r="AS68" s="16"/>
      <c r="AT68" s="16"/>
      <c r="AU68" s="16"/>
      <c r="AV68" s="16"/>
      <c r="AW68" s="16"/>
      <c r="AX68" s="16" t="s">
        <v>3960</v>
      </c>
      <c r="AY68" s="16"/>
      <c r="AZ68" s="16"/>
      <c r="BA68" s="16"/>
      <c r="BB68" s="16"/>
      <c r="BC68" s="16"/>
      <c r="BD68" s="16"/>
      <c r="BE68" s="16"/>
    </row>
    <row r="69" spans="1:57" ht="15" customHeight="1" x14ac:dyDescent="0.25">
      <c r="A69" s="17" t="s">
        <v>1194</v>
      </c>
      <c r="B69" s="17" t="s">
        <v>1195</v>
      </c>
      <c r="C69" s="16"/>
      <c r="D69" s="16"/>
      <c r="E69" s="16"/>
      <c r="F69" s="16"/>
      <c r="G69" s="16"/>
      <c r="H69" s="16" t="s">
        <v>3960</v>
      </c>
      <c r="I69" s="16" t="s">
        <v>3960</v>
      </c>
      <c r="J69" s="16"/>
      <c r="K69" s="16"/>
      <c r="L69" s="16" t="s">
        <v>3960</v>
      </c>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row>
    <row r="70" spans="1:57" ht="15" customHeight="1" x14ac:dyDescent="0.25">
      <c r="A70" s="17" t="s">
        <v>1204</v>
      </c>
      <c r="B70" s="17" t="s">
        <v>1205</v>
      </c>
      <c r="C70" s="16" t="s">
        <v>3960</v>
      </c>
      <c r="D70" s="16"/>
      <c r="E70" s="16"/>
      <c r="F70" s="16"/>
      <c r="G70" s="16"/>
      <c r="H70" s="16" t="s">
        <v>3960</v>
      </c>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row>
    <row r="71" spans="1:57" ht="15" customHeight="1" x14ac:dyDescent="0.25">
      <c r="A71" s="17" t="s">
        <v>1212</v>
      </c>
      <c r="B71" s="17" t="s">
        <v>1213</v>
      </c>
      <c r="C71" s="16"/>
      <c r="D71" s="16"/>
      <c r="E71" s="16"/>
      <c r="F71" s="16"/>
      <c r="G71" s="16"/>
      <c r="H71" s="16" t="s">
        <v>3960</v>
      </c>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t="s">
        <v>3960</v>
      </c>
      <c r="BB71" s="16"/>
      <c r="BC71" s="16"/>
      <c r="BD71" s="16"/>
      <c r="BE71" s="16"/>
    </row>
    <row r="72" spans="1:57" ht="15" customHeight="1" x14ac:dyDescent="0.25">
      <c r="A72" s="17" t="s">
        <v>1224</v>
      </c>
      <c r="B72" s="17" t="s">
        <v>1225</v>
      </c>
      <c r="C72" s="16"/>
      <c r="D72" s="16"/>
      <c r="E72" s="16"/>
      <c r="F72" s="16"/>
      <c r="G72" s="16"/>
      <c r="H72" s="16"/>
      <c r="I72" s="16" t="s">
        <v>3960</v>
      </c>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t="s">
        <v>3960</v>
      </c>
      <c r="AM72" s="16"/>
      <c r="AN72" s="16"/>
      <c r="AO72" s="16"/>
      <c r="AP72" s="16"/>
      <c r="AQ72" s="16"/>
      <c r="AR72" s="16"/>
      <c r="AS72" s="16"/>
      <c r="AT72" s="16"/>
      <c r="AU72" s="16"/>
      <c r="AV72" s="16"/>
      <c r="AW72" s="16"/>
      <c r="AX72" s="16"/>
      <c r="AY72" s="16"/>
      <c r="AZ72" s="16"/>
      <c r="BA72" s="16"/>
      <c r="BB72" s="16"/>
      <c r="BC72" s="16"/>
      <c r="BD72" s="16"/>
      <c r="BE72" s="16"/>
    </row>
    <row r="73" spans="1:57" ht="15" customHeight="1" x14ac:dyDescent="0.25">
      <c r="A73" s="17" t="s">
        <v>1234</v>
      </c>
      <c r="B73" s="17" t="s">
        <v>1235</v>
      </c>
      <c r="C73" s="16"/>
      <c r="D73" s="16"/>
      <c r="E73" s="16"/>
      <c r="F73" s="16"/>
      <c r="G73" s="16"/>
      <c r="H73" s="16"/>
      <c r="I73" s="16"/>
      <c r="J73" s="16" t="s">
        <v>3960</v>
      </c>
      <c r="K73" s="16"/>
      <c r="L73" s="16"/>
      <c r="M73" s="16"/>
      <c r="N73" s="16"/>
      <c r="O73" s="16"/>
      <c r="P73" s="16"/>
      <c r="Q73" s="16"/>
      <c r="R73" s="16"/>
      <c r="S73" s="16"/>
      <c r="T73" s="16"/>
      <c r="U73" s="16"/>
      <c r="V73" s="16" t="s">
        <v>3960</v>
      </c>
      <c r="W73" s="16"/>
      <c r="X73" s="16"/>
      <c r="Y73" s="16"/>
      <c r="Z73" s="16"/>
      <c r="AA73" s="16"/>
      <c r="AB73" s="16"/>
      <c r="AC73" s="16" t="s">
        <v>3960</v>
      </c>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row>
    <row r="74" spans="1:57" ht="15" customHeight="1" x14ac:dyDescent="0.25">
      <c r="A74" s="17" t="s">
        <v>1246</v>
      </c>
      <c r="B74" s="17" t="s">
        <v>1247</v>
      </c>
      <c r="C74" s="16"/>
      <c r="D74" s="16"/>
      <c r="E74" s="16"/>
      <c r="F74" s="16"/>
      <c r="G74" s="16"/>
      <c r="H74" s="16" t="s">
        <v>3960</v>
      </c>
      <c r="I74" s="16" t="s">
        <v>3960</v>
      </c>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row>
    <row r="75" spans="1:57" ht="15" customHeight="1" x14ac:dyDescent="0.25">
      <c r="A75" s="17" t="s">
        <v>1258</v>
      </c>
      <c r="B75" s="17" t="s">
        <v>1259</v>
      </c>
      <c r="C75" s="16"/>
      <c r="D75" s="16" t="s">
        <v>3960</v>
      </c>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t="s">
        <v>3960</v>
      </c>
      <c r="BC75" s="16"/>
      <c r="BD75" s="16"/>
      <c r="BE75" s="16"/>
    </row>
    <row r="76" spans="1:57" ht="15" customHeight="1" x14ac:dyDescent="0.25">
      <c r="A76" s="17" t="s">
        <v>1270</v>
      </c>
      <c r="B76" s="17" t="s">
        <v>1271</v>
      </c>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t="s">
        <v>3960</v>
      </c>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t="s">
        <v>3960</v>
      </c>
    </row>
    <row r="77" spans="1:57" ht="15" customHeight="1" x14ac:dyDescent="0.25">
      <c r="A77" s="17" t="s">
        <v>1282</v>
      </c>
      <c r="B77" s="17" t="s">
        <v>1284</v>
      </c>
      <c r="C77" s="16"/>
      <c r="D77" s="16"/>
      <c r="E77" s="16"/>
      <c r="F77" s="16"/>
      <c r="G77" s="16"/>
      <c r="H77" s="16"/>
      <c r="I77" s="16"/>
      <c r="J77" s="16"/>
      <c r="K77" s="16"/>
      <c r="L77" s="16"/>
      <c r="M77" s="16"/>
      <c r="N77" s="16"/>
      <c r="O77" s="16"/>
      <c r="P77" s="16"/>
      <c r="Q77" s="16"/>
      <c r="R77" s="16"/>
      <c r="S77" s="16"/>
      <c r="T77" s="16"/>
      <c r="U77" s="16" t="s">
        <v>3960</v>
      </c>
      <c r="V77" s="16"/>
      <c r="W77" s="16"/>
      <c r="X77" s="16"/>
      <c r="Y77" s="16"/>
      <c r="Z77" s="16" t="s">
        <v>3960</v>
      </c>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row>
    <row r="78" spans="1:57" ht="15" customHeight="1" x14ac:dyDescent="0.25">
      <c r="A78" s="17" t="s">
        <v>1292</v>
      </c>
      <c r="B78" s="17" t="s">
        <v>1293</v>
      </c>
      <c r="C78" s="16"/>
      <c r="D78" s="16"/>
      <c r="E78" s="16"/>
      <c r="F78" s="16"/>
      <c r="G78" s="16"/>
      <c r="H78" s="16"/>
      <c r="I78" s="16" t="s">
        <v>3960</v>
      </c>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t="s">
        <v>3960</v>
      </c>
      <c r="BB78" s="16"/>
      <c r="BC78" s="16"/>
      <c r="BD78" s="16"/>
      <c r="BE78" s="16"/>
    </row>
    <row r="79" spans="1:57" ht="15" customHeight="1" x14ac:dyDescent="0.25">
      <c r="A79" s="17" t="s">
        <v>1302</v>
      </c>
      <c r="B79" s="17" t="s">
        <v>1303</v>
      </c>
      <c r="C79" s="16"/>
      <c r="D79" s="16"/>
      <c r="E79" s="16"/>
      <c r="F79" s="16" t="s">
        <v>3960</v>
      </c>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t="s">
        <v>3960</v>
      </c>
      <c r="BB79" s="16"/>
      <c r="BC79" s="16"/>
      <c r="BD79" s="16"/>
      <c r="BE79" s="16"/>
    </row>
    <row r="80" spans="1:57" ht="27" customHeight="1" x14ac:dyDescent="0.25">
      <c r="A80" s="17" t="s">
        <v>1312</v>
      </c>
      <c r="B80" s="17" t="s">
        <v>1313</v>
      </c>
      <c r="C80" s="16"/>
      <c r="D80" s="16"/>
      <c r="E80" s="16"/>
      <c r="F80" s="16"/>
      <c r="G80" s="16"/>
      <c r="H80" s="16"/>
      <c r="I80" s="16"/>
      <c r="J80" s="16"/>
      <c r="K80" s="16"/>
      <c r="L80" s="16"/>
      <c r="M80" s="16"/>
      <c r="N80" s="16"/>
      <c r="O80" s="16"/>
      <c r="P80" s="16"/>
      <c r="Q80" s="16" t="s">
        <v>3960</v>
      </c>
      <c r="R80" s="16"/>
      <c r="S80" s="16"/>
      <c r="T80" s="16" t="s">
        <v>3960</v>
      </c>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row>
    <row r="81" spans="1:57" ht="27" customHeight="1" x14ac:dyDescent="0.25">
      <c r="A81" s="17" t="s">
        <v>1323</v>
      </c>
      <c r="B81" s="17" t="s">
        <v>1324</v>
      </c>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t="s">
        <v>3960</v>
      </c>
      <c r="AY81" s="16"/>
      <c r="AZ81" s="16"/>
      <c r="BA81" s="16" t="s">
        <v>3960</v>
      </c>
      <c r="BB81" s="16"/>
      <c r="BC81" s="16"/>
      <c r="BD81" s="16"/>
      <c r="BE81" s="16"/>
    </row>
    <row r="82" spans="1:57" ht="27" customHeight="1" x14ac:dyDescent="0.25">
      <c r="A82" s="17" t="s">
        <v>1333</v>
      </c>
      <c r="B82" s="17" t="s">
        <v>1334</v>
      </c>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t="s">
        <v>3960</v>
      </c>
      <c r="AM82" s="16"/>
      <c r="AN82" s="16"/>
      <c r="AO82" s="16"/>
      <c r="AP82" s="16"/>
      <c r="AQ82" s="16"/>
      <c r="AR82" s="16"/>
      <c r="AS82" s="16"/>
      <c r="AT82" s="16"/>
      <c r="AU82" s="16"/>
      <c r="AV82" s="16"/>
      <c r="AW82" s="16"/>
      <c r="AX82" s="16"/>
      <c r="AY82" s="16"/>
      <c r="AZ82" s="16"/>
      <c r="BA82" s="16" t="s">
        <v>3960</v>
      </c>
      <c r="BB82" s="16"/>
      <c r="BC82" s="16"/>
      <c r="BD82" s="16"/>
      <c r="BE82" s="16"/>
    </row>
    <row r="83" spans="1:57" ht="15" customHeight="1" x14ac:dyDescent="0.25">
      <c r="A83" s="17" t="s">
        <v>1344</v>
      </c>
      <c r="B83" s="17" t="s">
        <v>1346</v>
      </c>
      <c r="C83" s="16"/>
      <c r="D83" s="16"/>
      <c r="E83" s="16"/>
      <c r="F83" s="16"/>
      <c r="G83" s="16"/>
      <c r="H83" s="16"/>
      <c r="I83" s="16"/>
      <c r="J83" s="16"/>
      <c r="K83" s="16"/>
      <c r="L83" s="16" t="s">
        <v>3960</v>
      </c>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t="s">
        <v>3960</v>
      </c>
      <c r="AR83" s="16"/>
      <c r="AS83" s="16"/>
      <c r="AT83" s="16"/>
      <c r="AU83" s="16"/>
      <c r="AV83" s="16"/>
      <c r="AW83" s="16"/>
      <c r="AX83" s="16"/>
      <c r="AY83" s="16"/>
      <c r="AZ83" s="16"/>
      <c r="BA83" s="16"/>
      <c r="BB83" s="16"/>
      <c r="BC83" s="16"/>
      <c r="BD83" s="16"/>
      <c r="BE83" s="16"/>
    </row>
    <row r="84" spans="1:57" ht="15" customHeight="1" x14ac:dyDescent="0.25">
      <c r="A84" s="17" t="s">
        <v>1357</v>
      </c>
      <c r="B84" s="17" t="s">
        <v>1358</v>
      </c>
      <c r="C84" s="16"/>
      <c r="D84" s="16"/>
      <c r="E84" s="16"/>
      <c r="F84" s="16"/>
      <c r="G84" s="16"/>
      <c r="H84" s="16"/>
      <c r="I84" s="16"/>
      <c r="J84" s="16"/>
      <c r="K84" s="16"/>
      <c r="L84" s="16"/>
      <c r="M84" s="16"/>
      <c r="N84" s="16" t="s">
        <v>3960</v>
      </c>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t="s">
        <v>3960</v>
      </c>
      <c r="AR84" s="16"/>
      <c r="AS84" s="16"/>
      <c r="AT84" s="16"/>
      <c r="AU84" s="16"/>
      <c r="AV84" s="16"/>
      <c r="AW84" s="16"/>
      <c r="AX84" s="16"/>
      <c r="AY84" s="16"/>
      <c r="AZ84" s="16"/>
      <c r="BA84" s="16"/>
      <c r="BB84" s="16"/>
      <c r="BC84" s="16"/>
      <c r="BD84" s="16"/>
      <c r="BE84" s="16"/>
    </row>
    <row r="85" spans="1:57" ht="15" customHeight="1" x14ac:dyDescent="0.25">
      <c r="A85" s="17" t="s">
        <v>1367</v>
      </c>
      <c r="B85" s="17" t="s">
        <v>1368</v>
      </c>
      <c r="C85" s="16"/>
      <c r="D85" s="16"/>
      <c r="E85" s="16"/>
      <c r="F85" s="16"/>
      <c r="G85" s="16"/>
      <c r="H85" s="16"/>
      <c r="I85" s="16"/>
      <c r="J85" s="16"/>
      <c r="K85" s="16" t="s">
        <v>3960</v>
      </c>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t="s">
        <v>3960</v>
      </c>
      <c r="AR85" s="16"/>
      <c r="AS85" s="16"/>
      <c r="AT85" s="16"/>
      <c r="AU85" s="16"/>
      <c r="AV85" s="16"/>
      <c r="AW85" s="16"/>
      <c r="AX85" s="16"/>
      <c r="AY85" s="16"/>
      <c r="AZ85" s="16"/>
      <c r="BA85" s="16"/>
      <c r="BB85" s="16"/>
      <c r="BC85" s="16"/>
      <c r="BD85" s="16"/>
      <c r="BE85" s="16"/>
    </row>
    <row r="86" spans="1:57" ht="27" customHeight="1" x14ac:dyDescent="0.25">
      <c r="A86" s="17" t="s">
        <v>1378</v>
      </c>
      <c r="B86" s="17" t="s">
        <v>1379</v>
      </c>
      <c r="C86" s="16"/>
      <c r="D86" s="16"/>
      <c r="E86" s="16"/>
      <c r="F86" s="16"/>
      <c r="G86" s="16" t="s">
        <v>3960</v>
      </c>
      <c r="H86" s="16"/>
      <c r="I86" s="16"/>
      <c r="J86" s="16"/>
      <c r="K86" s="16"/>
      <c r="L86" s="16" t="s">
        <v>3960</v>
      </c>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row>
    <row r="87" spans="1:57" ht="15" customHeight="1" x14ac:dyDescent="0.25">
      <c r="A87" s="17" t="s">
        <v>1389</v>
      </c>
      <c r="B87" s="17" t="s">
        <v>1391</v>
      </c>
      <c r="C87" s="16"/>
      <c r="D87" s="16"/>
      <c r="E87" s="16"/>
      <c r="F87" s="16"/>
      <c r="G87" s="16"/>
      <c r="H87" s="16"/>
      <c r="I87" s="16"/>
      <c r="J87" s="16"/>
      <c r="K87" s="16"/>
      <c r="L87" s="16"/>
      <c r="M87" s="16"/>
      <c r="N87" s="16" t="s">
        <v>3960</v>
      </c>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t="s">
        <v>3960</v>
      </c>
      <c r="AP87" s="16"/>
      <c r="AQ87" s="16"/>
      <c r="AR87" s="16"/>
      <c r="AS87" s="16"/>
      <c r="AT87" s="16"/>
      <c r="AU87" s="16"/>
      <c r="AV87" s="16"/>
      <c r="AW87" s="16"/>
      <c r="AX87" s="16"/>
      <c r="AY87" s="16"/>
      <c r="AZ87" s="16"/>
      <c r="BA87" s="16"/>
      <c r="BB87" s="16"/>
      <c r="BC87" s="16"/>
      <c r="BD87" s="16"/>
      <c r="BE87" s="16"/>
    </row>
    <row r="88" spans="1:57" ht="15" customHeight="1" x14ac:dyDescent="0.25">
      <c r="A88" s="17" t="s">
        <v>1400</v>
      </c>
      <c r="B88" s="17" t="s">
        <v>1401</v>
      </c>
      <c r="C88" s="16"/>
      <c r="D88" s="16"/>
      <c r="E88" s="16"/>
      <c r="F88" s="16"/>
      <c r="G88" s="16"/>
      <c r="H88" s="16"/>
      <c r="I88" s="16"/>
      <c r="J88" s="16"/>
      <c r="K88" s="16"/>
      <c r="L88" s="16"/>
      <c r="M88" s="16"/>
      <c r="N88" s="16" t="s">
        <v>3960</v>
      </c>
      <c r="O88" s="16"/>
      <c r="P88" s="16"/>
      <c r="Q88" s="16" t="s">
        <v>3960</v>
      </c>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row>
    <row r="89" spans="1:57" ht="15" customHeight="1" x14ac:dyDescent="0.25">
      <c r="A89" s="17" t="s">
        <v>1409</v>
      </c>
      <c r="B89" s="17" t="s">
        <v>1410</v>
      </c>
      <c r="C89" s="16"/>
      <c r="D89" s="16" t="s">
        <v>3960</v>
      </c>
      <c r="E89" s="16"/>
      <c r="F89" s="16"/>
      <c r="G89" s="16"/>
      <c r="H89" s="16"/>
      <c r="I89" s="16"/>
      <c r="J89" s="16"/>
      <c r="K89" s="16"/>
      <c r="L89" s="16"/>
      <c r="M89" s="16"/>
      <c r="N89" s="16" t="s">
        <v>3960</v>
      </c>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row>
    <row r="90" spans="1:57" ht="15" customHeight="1" x14ac:dyDescent="0.25">
      <c r="A90" s="17" t="s">
        <v>1418</v>
      </c>
      <c r="B90" s="17" t="s">
        <v>1419</v>
      </c>
      <c r="C90" s="16"/>
      <c r="D90" s="16"/>
      <c r="E90" s="16"/>
      <c r="F90" s="16"/>
      <c r="G90" s="16"/>
      <c r="H90" s="16"/>
      <c r="I90" s="16"/>
      <c r="J90" s="16"/>
      <c r="K90" s="16"/>
      <c r="L90" s="16"/>
      <c r="M90" s="16"/>
      <c r="N90" s="16" t="s">
        <v>3960</v>
      </c>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t="s">
        <v>3960</v>
      </c>
      <c r="AP90" s="16"/>
      <c r="AQ90" s="16"/>
      <c r="AR90" s="16"/>
      <c r="AS90" s="16"/>
      <c r="AT90" s="16"/>
      <c r="AU90" s="16"/>
      <c r="AV90" s="16"/>
      <c r="AW90" s="16"/>
      <c r="AX90" s="16"/>
      <c r="AY90" s="16"/>
      <c r="AZ90" s="16"/>
      <c r="BA90" s="16"/>
      <c r="BB90" s="16"/>
      <c r="BC90" s="16"/>
      <c r="BD90" s="16"/>
      <c r="BE90" s="16"/>
    </row>
    <row r="91" spans="1:57" ht="15" customHeight="1" x14ac:dyDescent="0.25">
      <c r="A91" s="17" t="s">
        <v>1430</v>
      </c>
      <c r="B91" s="17" t="s">
        <v>1431</v>
      </c>
      <c r="C91" s="16"/>
      <c r="D91" s="16"/>
      <c r="E91" s="16"/>
      <c r="F91" s="16"/>
      <c r="G91" s="16"/>
      <c r="H91" s="16"/>
      <c r="I91" s="16"/>
      <c r="J91" s="16"/>
      <c r="K91" s="16"/>
      <c r="L91" s="16"/>
      <c r="M91" s="16"/>
      <c r="N91" s="16"/>
      <c r="O91" s="16"/>
      <c r="P91" s="16"/>
      <c r="Q91" s="16" t="s">
        <v>3960</v>
      </c>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t="s">
        <v>3960</v>
      </c>
      <c r="AT91" s="16"/>
      <c r="AU91" s="16"/>
      <c r="AV91" s="16"/>
      <c r="AW91" s="16"/>
      <c r="AX91" s="16"/>
      <c r="AY91" s="16"/>
      <c r="AZ91" s="16"/>
      <c r="BA91" s="16"/>
      <c r="BB91" s="16"/>
      <c r="BC91" s="16"/>
      <c r="BD91" s="16"/>
      <c r="BE91" s="16"/>
    </row>
    <row r="92" spans="1:57" ht="15" customHeight="1" x14ac:dyDescent="0.25">
      <c r="A92" s="17" t="s">
        <v>1442</v>
      </c>
      <c r="B92" s="17" t="s">
        <v>1443</v>
      </c>
      <c r="C92" s="16"/>
      <c r="D92" s="16"/>
      <c r="E92" s="16"/>
      <c r="F92" s="16"/>
      <c r="G92" s="16"/>
      <c r="H92" s="16"/>
      <c r="I92" s="16"/>
      <c r="J92" s="16"/>
      <c r="K92" s="16"/>
      <c r="L92" s="16"/>
      <c r="M92" s="16"/>
      <c r="N92" s="16"/>
      <c r="O92" s="16"/>
      <c r="P92" s="16"/>
      <c r="Q92" s="16" t="s">
        <v>3960</v>
      </c>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t="s">
        <v>3960</v>
      </c>
      <c r="AT92" s="16"/>
      <c r="AU92" s="16"/>
      <c r="AV92" s="16"/>
      <c r="AW92" s="16"/>
      <c r="AX92" s="16"/>
      <c r="AY92" s="16"/>
      <c r="AZ92" s="16"/>
      <c r="BA92" s="16"/>
      <c r="BB92" s="16"/>
      <c r="BC92" s="16"/>
      <c r="BD92" s="16"/>
      <c r="BE92" s="16"/>
    </row>
    <row r="93" spans="1:57" ht="15" customHeight="1" x14ac:dyDescent="0.25">
      <c r="A93" s="17" t="s">
        <v>1451</v>
      </c>
      <c r="B93" s="17" t="s">
        <v>1452</v>
      </c>
      <c r="C93" s="16"/>
      <c r="D93" s="16"/>
      <c r="E93" s="16"/>
      <c r="F93" s="16"/>
      <c r="G93" s="16"/>
      <c r="H93" s="16"/>
      <c r="I93" s="16"/>
      <c r="J93" s="16"/>
      <c r="K93" s="16"/>
      <c r="L93" s="16"/>
      <c r="M93" s="16"/>
      <c r="N93" s="16"/>
      <c r="O93" s="16"/>
      <c r="P93" s="16"/>
      <c r="Q93" s="16" t="s">
        <v>3960</v>
      </c>
      <c r="R93" s="16"/>
      <c r="S93" s="16"/>
      <c r="T93" s="16"/>
      <c r="U93" s="16"/>
      <c r="V93" s="16" t="s">
        <v>3960</v>
      </c>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row>
    <row r="94" spans="1:57" ht="27" customHeight="1" x14ac:dyDescent="0.25">
      <c r="A94" s="17" t="s">
        <v>1462</v>
      </c>
      <c r="B94" s="17" t="s">
        <v>1463</v>
      </c>
      <c r="C94" s="16"/>
      <c r="D94" s="16"/>
      <c r="E94" s="16"/>
      <c r="F94" s="16"/>
      <c r="G94" s="16"/>
      <c r="H94" s="16"/>
      <c r="I94" s="16"/>
      <c r="J94" s="16"/>
      <c r="K94" s="16"/>
      <c r="L94" s="16"/>
      <c r="M94" s="16"/>
      <c r="N94" s="16" t="s">
        <v>3960</v>
      </c>
      <c r="O94" s="16"/>
      <c r="P94" s="16"/>
      <c r="Q94" s="16" t="s">
        <v>3960</v>
      </c>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row>
    <row r="95" spans="1:57" ht="15" customHeight="1" x14ac:dyDescent="0.25">
      <c r="A95" s="17" t="s">
        <v>1472</v>
      </c>
      <c r="B95" s="17" t="s">
        <v>1474</v>
      </c>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t="s">
        <v>3960</v>
      </c>
      <c r="AJ95" s="16"/>
      <c r="AK95" s="16"/>
      <c r="AL95" s="16"/>
      <c r="AM95" s="16"/>
      <c r="AN95" s="16"/>
      <c r="AO95" s="16"/>
      <c r="AP95" s="16"/>
      <c r="AQ95" s="16"/>
      <c r="AR95" s="16"/>
      <c r="AS95" s="16"/>
      <c r="AT95" s="16" t="s">
        <v>3960</v>
      </c>
      <c r="AU95" s="16"/>
      <c r="AV95" s="16"/>
      <c r="AW95" s="16"/>
      <c r="AX95" s="16"/>
      <c r="AY95" s="16"/>
      <c r="AZ95" s="16"/>
      <c r="BA95" s="16"/>
      <c r="BB95" s="16"/>
      <c r="BC95" s="16"/>
      <c r="BD95" s="16"/>
      <c r="BE95" s="16"/>
    </row>
    <row r="96" spans="1:57" ht="15" customHeight="1" x14ac:dyDescent="0.25">
      <c r="A96" s="17" t="s">
        <v>1483</v>
      </c>
      <c r="B96" s="17" t="s">
        <v>1484</v>
      </c>
      <c r="C96" s="16"/>
      <c r="D96" s="16"/>
      <c r="E96" s="16"/>
      <c r="F96" s="16"/>
      <c r="G96" s="16"/>
      <c r="H96" s="16"/>
      <c r="I96" s="16"/>
      <c r="J96" s="16"/>
      <c r="K96" s="16"/>
      <c r="L96" s="16"/>
      <c r="M96" s="16"/>
      <c r="N96" s="16"/>
      <c r="O96" s="16"/>
      <c r="P96" s="16"/>
      <c r="Q96" s="16"/>
      <c r="R96" s="16"/>
      <c r="S96" s="16"/>
      <c r="T96" s="16"/>
      <c r="U96" s="16"/>
      <c r="V96" s="16"/>
      <c r="W96" s="16"/>
      <c r="X96" s="16"/>
      <c r="Y96" s="16"/>
      <c r="Z96" s="16"/>
      <c r="AA96" s="16" t="s">
        <v>3960</v>
      </c>
      <c r="AB96" s="16"/>
      <c r="AC96" s="16"/>
      <c r="AD96" s="16"/>
      <c r="AE96" s="16"/>
      <c r="AF96" s="16"/>
      <c r="AG96" s="16"/>
      <c r="AH96" s="16"/>
      <c r="AI96" s="16" t="s">
        <v>3960</v>
      </c>
      <c r="AJ96" s="16"/>
      <c r="AK96" s="16"/>
      <c r="AL96" s="16"/>
      <c r="AM96" s="16"/>
      <c r="AN96" s="16"/>
      <c r="AO96" s="16"/>
      <c r="AP96" s="16"/>
      <c r="AQ96" s="16"/>
      <c r="AR96" s="16"/>
      <c r="AS96" s="16"/>
      <c r="AT96" s="16"/>
      <c r="AU96" s="16"/>
      <c r="AV96" s="16"/>
      <c r="AW96" s="16"/>
      <c r="AX96" s="16"/>
      <c r="AY96" s="16"/>
      <c r="AZ96" s="16"/>
      <c r="BA96" s="16"/>
      <c r="BB96" s="16"/>
      <c r="BC96" s="16"/>
      <c r="BD96" s="16"/>
      <c r="BE96" s="16"/>
    </row>
    <row r="97" spans="1:57" ht="27" customHeight="1" x14ac:dyDescent="0.25">
      <c r="A97" s="17" t="s">
        <v>1495</v>
      </c>
      <c r="B97" s="17" t="s">
        <v>1496</v>
      </c>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t="s">
        <v>3960</v>
      </c>
      <c r="AU97" s="16"/>
      <c r="AV97" s="16"/>
      <c r="AW97" s="16" t="s">
        <v>3960</v>
      </c>
      <c r="AX97" s="16"/>
      <c r="AY97" s="16"/>
      <c r="AZ97" s="16"/>
      <c r="BA97" s="16"/>
      <c r="BB97" s="16"/>
      <c r="BC97" s="16"/>
      <c r="BD97" s="16"/>
      <c r="BE97" s="16"/>
    </row>
    <row r="98" spans="1:57" ht="15" customHeight="1" x14ac:dyDescent="0.25">
      <c r="A98" s="17" t="s">
        <v>1505</v>
      </c>
      <c r="B98" s="17" t="s">
        <v>1506</v>
      </c>
      <c r="C98" s="16"/>
      <c r="D98" s="16"/>
      <c r="E98" s="16"/>
      <c r="F98" s="16"/>
      <c r="G98" s="16"/>
      <c r="H98" s="16"/>
      <c r="I98" s="16"/>
      <c r="J98" s="16"/>
      <c r="K98" s="16"/>
      <c r="L98" s="16"/>
      <c r="M98" s="16"/>
      <c r="N98" s="16"/>
      <c r="O98" s="16"/>
      <c r="P98" s="16"/>
      <c r="Q98" s="16"/>
      <c r="R98" s="16"/>
      <c r="S98" s="16"/>
      <c r="T98" s="16"/>
      <c r="U98" s="16"/>
      <c r="V98" s="16"/>
      <c r="W98" s="16"/>
      <c r="X98" s="16"/>
      <c r="Y98" s="16" t="s">
        <v>3960</v>
      </c>
      <c r="Z98" s="16"/>
      <c r="AA98" s="16"/>
      <c r="AB98" s="16"/>
      <c r="AC98" s="16"/>
      <c r="AD98" s="16"/>
      <c r="AE98" s="16"/>
      <c r="AF98" s="16"/>
      <c r="AG98" s="16"/>
      <c r="AH98" s="16"/>
      <c r="AI98" s="16" t="s">
        <v>3960</v>
      </c>
      <c r="AJ98" s="16"/>
      <c r="AK98" s="16"/>
      <c r="AL98" s="16"/>
      <c r="AM98" s="16"/>
      <c r="AN98" s="16"/>
      <c r="AO98" s="16"/>
      <c r="AP98" s="16"/>
      <c r="AQ98" s="16"/>
      <c r="AR98" s="16"/>
      <c r="AS98" s="16"/>
      <c r="AT98" s="16"/>
      <c r="AU98" s="16"/>
      <c r="AV98" s="16"/>
      <c r="AW98" s="16"/>
      <c r="AX98" s="16"/>
      <c r="AY98" s="16"/>
      <c r="AZ98" s="16"/>
      <c r="BA98" s="16"/>
      <c r="BB98" s="16"/>
      <c r="BC98" s="16"/>
      <c r="BD98" s="16"/>
      <c r="BE98" s="16"/>
    </row>
    <row r="99" spans="1:57" ht="15" customHeight="1" x14ac:dyDescent="0.25">
      <c r="A99" s="17" t="s">
        <v>1516</v>
      </c>
      <c r="B99" s="17" t="s">
        <v>1518</v>
      </c>
      <c r="C99" s="16"/>
      <c r="D99" s="16"/>
      <c r="E99" s="16"/>
      <c r="F99" s="16"/>
      <c r="G99" s="16"/>
      <c r="H99" s="16"/>
      <c r="I99" s="16"/>
      <c r="J99" s="16"/>
      <c r="K99" s="16" t="s">
        <v>3960</v>
      </c>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t="s">
        <v>3960</v>
      </c>
      <c r="AX99" s="16"/>
      <c r="AY99" s="16"/>
      <c r="AZ99" s="16"/>
      <c r="BA99" s="16"/>
      <c r="BB99" s="16"/>
      <c r="BC99" s="16"/>
      <c r="BD99" s="16"/>
      <c r="BE99" s="16"/>
    </row>
    <row r="100" spans="1:57" ht="15" customHeight="1" x14ac:dyDescent="0.25">
      <c r="A100" s="17" t="s">
        <v>1527</v>
      </c>
      <c r="B100" s="17" t="s">
        <v>1528</v>
      </c>
      <c r="C100" s="16"/>
      <c r="D100" s="16" t="s">
        <v>3960</v>
      </c>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t="s">
        <v>3960</v>
      </c>
      <c r="BC100" s="16"/>
      <c r="BD100" s="16"/>
      <c r="BE100" s="16"/>
    </row>
    <row r="101" spans="1:57" ht="15" customHeight="1" x14ac:dyDescent="0.25">
      <c r="A101" s="17" t="s">
        <v>1538</v>
      </c>
      <c r="B101" s="17" t="s">
        <v>1539</v>
      </c>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t="s">
        <v>3960</v>
      </c>
      <c r="BB101" s="16" t="s">
        <v>3960</v>
      </c>
      <c r="BC101" s="16"/>
      <c r="BD101" s="16"/>
      <c r="BE101" s="16"/>
    </row>
    <row r="102" spans="1:57" ht="15" customHeight="1" x14ac:dyDescent="0.25">
      <c r="A102" s="17" t="s">
        <v>1549</v>
      </c>
      <c r="B102" s="17" t="s">
        <v>1550</v>
      </c>
      <c r="C102" s="16"/>
      <c r="D102" s="16" t="s">
        <v>3960</v>
      </c>
      <c r="E102" s="16"/>
      <c r="F102" s="16"/>
      <c r="G102" s="16"/>
      <c r="H102" s="16"/>
      <c r="I102" s="16"/>
      <c r="J102" s="16"/>
      <c r="K102" s="16"/>
      <c r="L102" s="16"/>
      <c r="M102" s="16"/>
      <c r="N102" s="16"/>
      <c r="O102" s="16"/>
      <c r="P102" s="16"/>
      <c r="Q102" s="16"/>
      <c r="R102" s="16"/>
      <c r="S102" s="16"/>
      <c r="T102" s="16"/>
      <c r="U102" s="16" t="s">
        <v>3960</v>
      </c>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row>
    <row r="103" spans="1:57" ht="27" customHeight="1" x14ac:dyDescent="0.25">
      <c r="A103" s="17" t="s">
        <v>1559</v>
      </c>
      <c r="B103" s="17" t="s">
        <v>1561</v>
      </c>
      <c r="C103" s="16"/>
      <c r="D103" s="16"/>
      <c r="E103" s="16"/>
      <c r="F103" s="16"/>
      <c r="G103" s="16"/>
      <c r="H103" s="16" t="s">
        <v>3960</v>
      </c>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t="s">
        <v>3960</v>
      </c>
      <c r="AS103" s="16"/>
      <c r="AT103" s="16"/>
      <c r="AU103" s="16"/>
      <c r="AV103" s="16"/>
      <c r="AW103" s="16"/>
      <c r="AX103" s="16" t="s">
        <v>3960</v>
      </c>
      <c r="AY103" s="16"/>
      <c r="AZ103" s="16"/>
      <c r="BA103" s="16"/>
      <c r="BB103" s="16"/>
      <c r="BC103" s="16"/>
      <c r="BD103" s="16"/>
      <c r="BE103" s="16"/>
    </row>
    <row r="104" spans="1:57" ht="27" customHeight="1" x14ac:dyDescent="0.25">
      <c r="A104" s="17" t="s">
        <v>1573</v>
      </c>
      <c r="B104" s="17" t="s">
        <v>1574</v>
      </c>
      <c r="C104" s="16"/>
      <c r="D104" s="16"/>
      <c r="E104" s="16"/>
      <c r="F104" s="16"/>
      <c r="G104" s="16"/>
      <c r="H104" s="16"/>
      <c r="I104" s="16"/>
      <c r="J104" s="16"/>
      <c r="K104" s="16"/>
      <c r="L104" s="16"/>
      <c r="M104" s="16"/>
      <c r="N104" s="16"/>
      <c r="O104" s="16"/>
      <c r="P104" s="16"/>
      <c r="Q104" s="16" t="s">
        <v>3960</v>
      </c>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t="s">
        <v>3960</v>
      </c>
      <c r="AS104" s="16"/>
      <c r="AT104" s="16"/>
      <c r="AU104" s="16"/>
      <c r="AV104" s="16"/>
      <c r="AW104" s="16"/>
      <c r="AX104" s="16"/>
      <c r="AY104" s="16"/>
      <c r="AZ104" s="16"/>
      <c r="BA104" s="16"/>
      <c r="BB104" s="16"/>
      <c r="BC104" s="16"/>
      <c r="BD104" s="16"/>
      <c r="BE104" s="16"/>
    </row>
    <row r="105" spans="1:57" ht="27" customHeight="1" x14ac:dyDescent="0.25">
      <c r="A105" s="17" t="s">
        <v>1584</v>
      </c>
      <c r="B105" s="17" t="s">
        <v>1585</v>
      </c>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t="s">
        <v>3960</v>
      </c>
      <c r="AD105" s="16"/>
      <c r="AE105" s="16"/>
      <c r="AF105" s="16"/>
      <c r="AG105" s="16"/>
      <c r="AH105" s="16"/>
      <c r="AI105" s="16"/>
      <c r="AJ105" s="16"/>
      <c r="AK105" s="16"/>
      <c r="AL105" s="16"/>
      <c r="AM105" s="16"/>
      <c r="AN105" s="16"/>
      <c r="AO105" s="16"/>
      <c r="AP105" s="16"/>
      <c r="AQ105" s="16"/>
      <c r="AR105" s="16" t="s">
        <v>3960</v>
      </c>
      <c r="AS105" s="16"/>
      <c r="AT105" s="16"/>
      <c r="AU105" s="16"/>
      <c r="AV105" s="16"/>
      <c r="AW105" s="16"/>
      <c r="AX105" s="16"/>
      <c r="AY105" s="16"/>
      <c r="AZ105" s="16"/>
      <c r="BA105" s="16"/>
      <c r="BB105" s="16"/>
      <c r="BC105" s="16"/>
      <c r="BD105" s="16"/>
      <c r="BE105" s="16"/>
    </row>
    <row r="106" spans="1:57" ht="27" customHeight="1" x14ac:dyDescent="0.25">
      <c r="A106" s="17" t="s">
        <v>1597</v>
      </c>
      <c r="B106" s="17" t="s">
        <v>1598</v>
      </c>
      <c r="C106" s="16"/>
      <c r="D106" s="16"/>
      <c r="E106" s="16"/>
      <c r="F106" s="16"/>
      <c r="G106" s="16"/>
      <c r="H106" s="16"/>
      <c r="I106" s="16"/>
      <c r="J106" s="16"/>
      <c r="K106" s="16" t="s">
        <v>3960</v>
      </c>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t="s">
        <v>3960</v>
      </c>
      <c r="AS106" s="16"/>
      <c r="AT106" s="16"/>
      <c r="AU106" s="16"/>
      <c r="AV106" s="16"/>
      <c r="AW106" s="16"/>
      <c r="AX106" s="16"/>
      <c r="AY106" s="16"/>
      <c r="AZ106" s="16"/>
      <c r="BA106" s="16"/>
      <c r="BB106" s="16"/>
      <c r="BC106" s="16"/>
      <c r="BD106" s="16"/>
      <c r="BE106" s="16"/>
    </row>
    <row r="107" spans="1:57" ht="27" customHeight="1" x14ac:dyDescent="0.25">
      <c r="A107" s="17" t="s">
        <v>1610</v>
      </c>
      <c r="B107" s="17" t="s">
        <v>1611</v>
      </c>
      <c r="C107" s="16"/>
      <c r="D107" s="16"/>
      <c r="E107" s="16"/>
      <c r="F107" s="16"/>
      <c r="G107" s="16"/>
      <c r="H107" s="16"/>
      <c r="I107" s="16"/>
      <c r="J107" s="16"/>
      <c r="K107" s="16"/>
      <c r="L107" s="16"/>
      <c r="M107" s="16"/>
      <c r="N107" s="16"/>
      <c r="O107" s="16"/>
      <c r="P107" s="16"/>
      <c r="Q107" s="16"/>
      <c r="R107" s="16"/>
      <c r="S107" s="16"/>
      <c r="T107" s="16"/>
      <c r="U107" s="16"/>
      <c r="V107" s="16"/>
      <c r="W107" s="16"/>
      <c r="X107" s="16"/>
      <c r="Y107" s="16" t="s">
        <v>3960</v>
      </c>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t="s">
        <v>3960</v>
      </c>
    </row>
    <row r="108" spans="1:57" ht="27" customHeight="1" x14ac:dyDescent="0.25">
      <c r="A108" s="17" t="s">
        <v>1621</v>
      </c>
      <c r="B108" s="17" t="s">
        <v>1622</v>
      </c>
      <c r="C108" s="16"/>
      <c r="D108" s="16"/>
      <c r="E108" s="16"/>
      <c r="F108" s="16"/>
      <c r="G108" s="16"/>
      <c r="H108" s="16" t="s">
        <v>3960</v>
      </c>
      <c r="I108" s="16"/>
      <c r="J108" s="16"/>
      <c r="K108" s="16"/>
      <c r="L108" s="16"/>
      <c r="M108" s="16"/>
      <c r="N108" s="16"/>
      <c r="O108" s="16"/>
      <c r="P108" s="16"/>
      <c r="Q108" s="16"/>
      <c r="R108" s="16"/>
      <c r="S108" s="16"/>
      <c r="T108" s="16"/>
      <c r="U108" s="16"/>
      <c r="V108" s="16"/>
      <c r="W108" s="16"/>
      <c r="X108" s="16"/>
      <c r="Y108" s="16"/>
      <c r="Z108" s="16"/>
      <c r="AA108" s="16"/>
      <c r="AB108" s="16"/>
      <c r="AC108" s="16" t="s">
        <v>3960</v>
      </c>
      <c r="AD108" s="16"/>
      <c r="AE108" s="16"/>
      <c r="AF108" s="16"/>
      <c r="AG108" s="16"/>
      <c r="AH108" s="16"/>
      <c r="AI108" s="16"/>
      <c r="AJ108" s="16"/>
      <c r="AK108" s="16"/>
      <c r="AL108" s="16"/>
      <c r="AM108" s="16"/>
      <c r="AN108" s="16"/>
      <c r="AO108" s="16"/>
      <c r="AP108" s="16"/>
      <c r="AQ108" s="16"/>
      <c r="AR108" s="16" t="s">
        <v>3960</v>
      </c>
      <c r="AS108" s="16"/>
      <c r="AT108" s="16"/>
      <c r="AU108" s="16"/>
      <c r="AV108" s="16"/>
      <c r="AW108" s="16"/>
      <c r="AX108" s="16"/>
      <c r="AY108" s="16"/>
      <c r="AZ108" s="16"/>
      <c r="BA108" s="16"/>
      <c r="BB108" s="16"/>
      <c r="BC108" s="16"/>
      <c r="BD108" s="16"/>
      <c r="BE108" s="16"/>
    </row>
    <row r="109" spans="1:57" ht="15" customHeight="1" x14ac:dyDescent="0.25">
      <c r="A109" s="17" t="s">
        <v>1634</v>
      </c>
      <c r="B109" s="17" t="s">
        <v>1636</v>
      </c>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t="s">
        <v>3960</v>
      </c>
      <c r="AJ109" s="16"/>
      <c r="AK109" s="16"/>
      <c r="AL109" s="16"/>
      <c r="AM109" s="16"/>
      <c r="AN109" s="16"/>
      <c r="AO109" s="16"/>
      <c r="AP109" s="16"/>
      <c r="AQ109" s="16"/>
      <c r="AR109" s="16"/>
      <c r="AS109" s="16"/>
      <c r="AT109" s="16"/>
      <c r="AU109" s="16"/>
      <c r="AV109" s="16"/>
      <c r="AW109" s="16"/>
      <c r="AX109" s="16"/>
      <c r="AY109" s="16"/>
      <c r="AZ109" s="16"/>
      <c r="BA109" s="16"/>
      <c r="BB109" s="16"/>
      <c r="BC109" s="16" t="s">
        <v>3960</v>
      </c>
      <c r="BD109" s="16"/>
      <c r="BE109" s="16"/>
    </row>
    <row r="110" spans="1:57" ht="15" customHeight="1" x14ac:dyDescent="0.25">
      <c r="A110" s="17" t="s">
        <v>1644</v>
      </c>
      <c r="B110" s="17" t="s">
        <v>1645</v>
      </c>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t="s">
        <v>3960</v>
      </c>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t="s">
        <v>3960</v>
      </c>
      <c r="BE110" s="16"/>
    </row>
    <row r="111" spans="1:57" ht="15" customHeight="1" x14ac:dyDescent="0.25">
      <c r="A111" s="17" t="s">
        <v>1654</v>
      </c>
      <c r="B111" s="17" t="s">
        <v>1655</v>
      </c>
      <c r="C111" s="16"/>
      <c r="D111" s="16"/>
      <c r="E111" s="16"/>
      <c r="F111" s="16" t="s">
        <v>3960</v>
      </c>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t="s">
        <v>3960</v>
      </c>
      <c r="BE111" s="16"/>
    </row>
    <row r="112" spans="1:57" ht="15" customHeight="1" x14ac:dyDescent="0.25">
      <c r="A112" s="17" t="s">
        <v>1664</v>
      </c>
      <c r="B112" s="17" t="s">
        <v>1665</v>
      </c>
      <c r="C112" s="16"/>
      <c r="D112" s="16" t="s">
        <v>3960</v>
      </c>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t="s">
        <v>3960</v>
      </c>
      <c r="BD112" s="16"/>
      <c r="BE112" s="16"/>
    </row>
    <row r="113" spans="1:57" ht="15" customHeight="1" x14ac:dyDescent="0.25">
      <c r="A113" s="17" t="s">
        <v>1674</v>
      </c>
      <c r="B113" s="17" t="s">
        <v>1675</v>
      </c>
      <c r="C113" s="16"/>
      <c r="D113" s="16"/>
      <c r="E113" s="16"/>
      <c r="F113" s="16"/>
      <c r="G113" s="16"/>
      <c r="H113" s="16"/>
      <c r="I113" s="16"/>
      <c r="J113" s="16"/>
      <c r="K113" s="16"/>
      <c r="L113" s="16"/>
      <c r="M113" s="16"/>
      <c r="N113" s="16"/>
      <c r="O113" s="16"/>
      <c r="P113" s="16"/>
      <c r="Q113" s="16"/>
      <c r="R113" s="16"/>
      <c r="S113" s="16"/>
      <c r="T113" s="16"/>
      <c r="U113" s="16" t="s">
        <v>3960</v>
      </c>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t="s">
        <v>3960</v>
      </c>
      <c r="BE113" s="16"/>
    </row>
    <row r="114" spans="1:57" ht="15" customHeight="1" x14ac:dyDescent="0.25">
      <c r="A114" s="17" t="s">
        <v>1684</v>
      </c>
      <c r="B114" s="17" t="s">
        <v>1686</v>
      </c>
      <c r="C114" s="16"/>
      <c r="D114" s="16"/>
      <c r="E114" s="16"/>
      <c r="F114" s="16"/>
      <c r="G114" s="16"/>
      <c r="H114" s="16"/>
      <c r="I114" s="16"/>
      <c r="J114" s="16"/>
      <c r="K114" s="16"/>
      <c r="L114" s="16"/>
      <c r="M114" s="16"/>
      <c r="N114" s="16"/>
      <c r="O114" s="16"/>
      <c r="P114" s="16"/>
      <c r="Q114" s="16"/>
      <c r="R114" s="16"/>
      <c r="S114" s="16"/>
      <c r="T114" s="16"/>
      <c r="U114" s="16" t="s">
        <v>3960</v>
      </c>
      <c r="V114" s="16"/>
      <c r="W114" s="16"/>
      <c r="X114" s="16"/>
      <c r="Y114" s="16" t="s">
        <v>3960</v>
      </c>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row>
    <row r="115" spans="1:57" ht="15" customHeight="1" x14ac:dyDescent="0.25">
      <c r="A115" s="17" t="s">
        <v>1697</v>
      </c>
      <c r="B115" s="17" t="s">
        <v>1698</v>
      </c>
      <c r="C115" s="16"/>
      <c r="D115" s="16"/>
      <c r="E115" s="16"/>
      <c r="F115" s="16"/>
      <c r="G115" s="16"/>
      <c r="H115" s="16"/>
      <c r="I115" s="16" t="s">
        <v>3960</v>
      </c>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t="s">
        <v>3960</v>
      </c>
      <c r="BE115" s="16"/>
    </row>
    <row r="116" spans="1:57" ht="15" customHeight="1" x14ac:dyDescent="0.25">
      <c r="A116" s="17" t="s">
        <v>1708</v>
      </c>
      <c r="B116" s="17" t="s">
        <v>1709</v>
      </c>
      <c r="C116" s="16"/>
      <c r="D116" s="16" t="s">
        <v>3960</v>
      </c>
      <c r="E116" s="16"/>
      <c r="F116" s="16"/>
      <c r="G116" s="16"/>
      <c r="H116" s="16"/>
      <c r="I116" s="16"/>
      <c r="J116" s="16"/>
      <c r="K116" s="16"/>
      <c r="L116" s="16"/>
      <c r="M116" s="16"/>
      <c r="N116" s="16"/>
      <c r="O116" s="16"/>
      <c r="P116" s="16"/>
      <c r="Q116" s="16"/>
      <c r="R116" s="16"/>
      <c r="S116" s="16"/>
      <c r="T116" s="16"/>
      <c r="U116" s="16" t="s">
        <v>3960</v>
      </c>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row>
    <row r="117" spans="1:57" ht="27" customHeight="1" x14ac:dyDescent="0.25">
      <c r="A117" s="17" t="s">
        <v>1717</v>
      </c>
      <c r="B117" s="17" t="s">
        <v>1718</v>
      </c>
      <c r="C117" s="16"/>
      <c r="D117" s="16"/>
      <c r="E117" s="16"/>
      <c r="F117" s="16"/>
      <c r="G117" s="16"/>
      <c r="H117" s="16"/>
      <c r="I117" s="16"/>
      <c r="J117" s="16"/>
      <c r="K117" s="16"/>
      <c r="L117" s="16"/>
      <c r="M117" s="16"/>
      <c r="N117" s="16" t="s">
        <v>3960</v>
      </c>
      <c r="O117" s="16"/>
      <c r="P117" s="16"/>
      <c r="Q117" s="16"/>
      <c r="R117" s="16"/>
      <c r="S117" s="16"/>
      <c r="T117" s="16"/>
      <c r="U117" s="16" t="s">
        <v>3960</v>
      </c>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row>
    <row r="118" spans="1:57" ht="15" customHeight="1" x14ac:dyDescent="0.25">
      <c r="A118" s="17" t="s">
        <v>1729</v>
      </c>
      <c r="B118" s="17" t="s">
        <v>1730</v>
      </c>
      <c r="C118" s="16"/>
      <c r="D118" s="16"/>
      <c r="E118" s="16"/>
      <c r="F118" s="16"/>
      <c r="G118" s="16"/>
      <c r="H118" s="16"/>
      <c r="I118" s="16"/>
      <c r="J118" s="16"/>
      <c r="K118" s="16"/>
      <c r="L118" s="16"/>
      <c r="M118" s="16"/>
      <c r="N118" s="16" t="s">
        <v>3960</v>
      </c>
      <c r="O118" s="16"/>
      <c r="P118" s="16"/>
      <c r="Q118" s="16"/>
      <c r="R118" s="16"/>
      <c r="S118" s="16"/>
      <c r="T118" s="16"/>
      <c r="U118" s="16" t="s">
        <v>3960</v>
      </c>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row>
    <row r="119" spans="1:57" ht="15" customHeight="1" x14ac:dyDescent="0.25">
      <c r="A119" s="17" t="s">
        <v>1740</v>
      </c>
      <c r="B119" s="17" t="s">
        <v>1741</v>
      </c>
      <c r="C119" s="16"/>
      <c r="D119" s="16"/>
      <c r="E119" s="16"/>
      <c r="F119" s="16"/>
      <c r="G119" s="16"/>
      <c r="H119" s="16"/>
      <c r="I119" s="16"/>
      <c r="J119" s="16"/>
      <c r="K119" s="16"/>
      <c r="L119" s="16"/>
      <c r="M119" s="16"/>
      <c r="N119" s="16" t="s">
        <v>3960</v>
      </c>
      <c r="O119" s="16"/>
      <c r="P119" s="16"/>
      <c r="Q119" s="16"/>
      <c r="R119" s="16"/>
      <c r="S119" s="16"/>
      <c r="T119" s="16"/>
      <c r="U119" s="16"/>
      <c r="V119" s="16"/>
      <c r="W119" s="16"/>
      <c r="X119" s="16" t="s">
        <v>3960</v>
      </c>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row>
    <row r="120" spans="1:57" ht="27" customHeight="1" x14ac:dyDescent="0.25">
      <c r="A120" s="17" t="s">
        <v>1752</v>
      </c>
      <c r="B120" s="17" t="s">
        <v>1753</v>
      </c>
      <c r="C120" s="16"/>
      <c r="D120" s="16"/>
      <c r="E120" s="16"/>
      <c r="F120" s="16" t="s">
        <v>3960</v>
      </c>
      <c r="G120" s="16"/>
      <c r="H120" s="16"/>
      <c r="I120" s="16"/>
      <c r="J120" s="16"/>
      <c r="K120" s="16"/>
      <c r="L120" s="16"/>
      <c r="M120" s="16"/>
      <c r="N120" s="16"/>
      <c r="O120" s="16"/>
      <c r="P120" s="16"/>
      <c r="Q120" s="16"/>
      <c r="R120" s="16"/>
      <c r="S120" s="16"/>
      <c r="T120" s="16"/>
      <c r="U120" s="16" t="s">
        <v>3960</v>
      </c>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row>
    <row r="121" spans="1:57" ht="27" customHeight="1" x14ac:dyDescent="0.25">
      <c r="A121" s="17" t="s">
        <v>1762</v>
      </c>
      <c r="B121" s="17" t="s">
        <v>1763</v>
      </c>
      <c r="C121" s="16"/>
      <c r="D121" s="16"/>
      <c r="E121" s="16"/>
      <c r="F121" s="16"/>
      <c r="G121" s="16"/>
      <c r="H121" s="16"/>
      <c r="I121" s="16"/>
      <c r="J121" s="16"/>
      <c r="K121" s="16"/>
      <c r="L121" s="16"/>
      <c r="M121" s="16"/>
      <c r="N121" s="16"/>
      <c r="O121" s="16"/>
      <c r="P121" s="16"/>
      <c r="Q121" s="16"/>
      <c r="R121" s="16"/>
      <c r="S121" s="16"/>
      <c r="T121" s="16"/>
      <c r="U121" s="16" t="s">
        <v>3960</v>
      </c>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t="s">
        <v>3960</v>
      </c>
      <c r="AS121" s="16"/>
      <c r="AT121" s="16"/>
      <c r="AU121" s="16"/>
      <c r="AV121" s="16"/>
      <c r="AW121" s="16"/>
      <c r="AX121" s="16"/>
      <c r="AY121" s="16"/>
      <c r="AZ121" s="16"/>
      <c r="BA121" s="16"/>
      <c r="BB121" s="16"/>
      <c r="BC121" s="16"/>
      <c r="BD121" s="16"/>
      <c r="BE121" s="16"/>
    </row>
    <row r="122" spans="1:57" ht="15" customHeight="1" x14ac:dyDescent="0.25">
      <c r="A122" s="17" t="s">
        <v>1772</v>
      </c>
      <c r="B122" s="17" t="s">
        <v>1774</v>
      </c>
      <c r="C122" s="16"/>
      <c r="D122" s="16"/>
      <c r="E122" s="16"/>
      <c r="F122" s="16"/>
      <c r="G122" s="16"/>
      <c r="H122" s="16"/>
      <c r="I122" s="16"/>
      <c r="J122" s="16"/>
      <c r="K122" s="16"/>
      <c r="L122" s="16" t="s">
        <v>3960</v>
      </c>
      <c r="M122" s="16"/>
      <c r="N122" s="16"/>
      <c r="O122" s="16"/>
      <c r="P122" s="16"/>
      <c r="Q122" s="16"/>
      <c r="R122" s="16"/>
      <c r="S122" s="16"/>
      <c r="T122" s="16"/>
      <c r="U122" s="16"/>
      <c r="V122" s="16"/>
      <c r="W122" s="16"/>
      <c r="X122" s="16"/>
      <c r="Y122" s="16"/>
      <c r="Z122" s="16" t="s">
        <v>3960</v>
      </c>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t="s">
        <v>3960</v>
      </c>
      <c r="BA122" s="16"/>
      <c r="BB122" s="16"/>
      <c r="BC122" s="16"/>
      <c r="BD122" s="16"/>
      <c r="BE122" s="16"/>
    </row>
    <row r="123" spans="1:57" ht="15" customHeight="1" x14ac:dyDescent="0.25">
      <c r="A123" s="17" t="s">
        <v>1785</v>
      </c>
      <c r="B123" s="17" t="s">
        <v>1786</v>
      </c>
      <c r="C123" s="16"/>
      <c r="D123" s="16"/>
      <c r="E123" s="16" t="s">
        <v>3960</v>
      </c>
      <c r="F123" s="16"/>
      <c r="G123" s="16"/>
      <c r="H123" s="16"/>
      <c r="I123" s="16"/>
      <c r="J123" s="16"/>
      <c r="K123" s="16"/>
      <c r="L123" s="16"/>
      <c r="M123" s="16"/>
      <c r="N123" s="16"/>
      <c r="O123" s="16"/>
      <c r="P123" s="16"/>
      <c r="Q123" s="16"/>
      <c r="R123" s="16"/>
      <c r="S123" s="16"/>
      <c r="T123" s="16" t="s">
        <v>3960</v>
      </c>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t="s">
        <v>3960</v>
      </c>
      <c r="BA123" s="16"/>
      <c r="BB123" s="16"/>
      <c r="BC123" s="16"/>
      <c r="BD123" s="16"/>
      <c r="BE123" s="16"/>
    </row>
    <row r="124" spans="1:57" ht="15" customHeight="1" x14ac:dyDescent="0.25">
      <c r="A124" s="17" t="s">
        <v>1795</v>
      </c>
      <c r="B124" s="17" t="s">
        <v>1796</v>
      </c>
      <c r="C124" s="16"/>
      <c r="D124" s="16"/>
      <c r="E124" s="16" t="s">
        <v>3960</v>
      </c>
      <c r="F124" s="16"/>
      <c r="G124" s="16"/>
      <c r="H124" s="16"/>
      <c r="I124" s="16"/>
      <c r="J124" s="16"/>
      <c r="K124" s="16"/>
      <c r="L124" s="16"/>
      <c r="M124" s="16"/>
      <c r="N124" s="16"/>
      <c r="O124" s="16"/>
      <c r="P124" s="16"/>
      <c r="Q124" s="16"/>
      <c r="R124" s="16"/>
      <c r="S124" s="16"/>
      <c r="T124" s="16" t="s">
        <v>3960</v>
      </c>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row>
    <row r="125" spans="1:57" ht="15" customHeight="1" x14ac:dyDescent="0.25">
      <c r="A125" s="17" t="s">
        <v>1805</v>
      </c>
      <c r="B125" s="17" t="s">
        <v>1806</v>
      </c>
      <c r="C125" s="16"/>
      <c r="D125" s="16"/>
      <c r="E125" s="16" t="s">
        <v>3960</v>
      </c>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t="s">
        <v>3960</v>
      </c>
      <c r="BA125" s="16"/>
      <c r="BB125" s="16"/>
      <c r="BC125" s="16"/>
      <c r="BD125" s="16"/>
      <c r="BE125" s="16"/>
    </row>
    <row r="126" spans="1:57" ht="15" customHeight="1" x14ac:dyDescent="0.25">
      <c r="A126" s="17" t="s">
        <v>1815</v>
      </c>
      <c r="B126" s="17" t="s">
        <v>1816</v>
      </c>
      <c r="C126" s="16"/>
      <c r="D126" s="16"/>
      <c r="E126" s="16" t="s">
        <v>3960</v>
      </c>
      <c r="F126" s="16"/>
      <c r="G126" s="16"/>
      <c r="H126" s="16"/>
      <c r="I126" s="16"/>
      <c r="J126" s="16"/>
      <c r="K126" s="16"/>
      <c r="L126" s="16"/>
      <c r="M126" s="16"/>
      <c r="N126" s="16"/>
      <c r="O126" s="16"/>
      <c r="P126" s="16"/>
      <c r="Q126" s="16"/>
      <c r="R126" s="16"/>
      <c r="S126" s="16"/>
      <c r="T126" s="16" t="s">
        <v>3960</v>
      </c>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row>
    <row r="127" spans="1:57" ht="15" customHeight="1" x14ac:dyDescent="0.25">
      <c r="A127" s="17" t="s">
        <v>1824</v>
      </c>
      <c r="B127" s="17" t="s">
        <v>1825</v>
      </c>
      <c r="C127" s="16"/>
      <c r="D127" s="16"/>
      <c r="E127" s="16"/>
      <c r="F127" s="16"/>
      <c r="G127" s="16"/>
      <c r="H127" s="16"/>
      <c r="I127" s="16"/>
      <c r="J127" s="16"/>
      <c r="K127" s="16"/>
      <c r="L127" s="16"/>
      <c r="M127" s="16"/>
      <c r="N127" s="16"/>
      <c r="O127" s="16"/>
      <c r="P127" s="16" t="s">
        <v>3960</v>
      </c>
      <c r="Q127" s="16" t="s">
        <v>3960</v>
      </c>
      <c r="R127" s="16"/>
      <c r="S127" s="16"/>
      <c r="T127" s="16" t="s">
        <v>3960</v>
      </c>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row>
    <row r="128" spans="1:57" ht="15" customHeight="1" x14ac:dyDescent="0.25">
      <c r="A128" s="17" t="s">
        <v>1837</v>
      </c>
      <c r="B128" s="17" t="s">
        <v>1839</v>
      </c>
      <c r="C128" s="16"/>
      <c r="D128" s="16"/>
      <c r="E128" s="16"/>
      <c r="F128" s="16"/>
      <c r="G128" s="16"/>
      <c r="H128" s="16"/>
      <c r="I128" s="16"/>
      <c r="J128" s="16" t="s">
        <v>3960</v>
      </c>
      <c r="K128" s="16"/>
      <c r="L128" s="16"/>
      <c r="M128" s="16"/>
      <c r="N128" s="16"/>
      <c r="O128" s="16"/>
      <c r="P128" s="16"/>
      <c r="Q128" s="16" t="s">
        <v>3960</v>
      </c>
      <c r="R128" s="16"/>
      <c r="S128" s="16"/>
      <c r="T128" s="16" t="s">
        <v>3960</v>
      </c>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row>
    <row r="129" spans="1:57" ht="15" customHeight="1" x14ac:dyDescent="0.25">
      <c r="A129" s="17" t="s">
        <v>1851</v>
      </c>
      <c r="B129" s="17" t="s">
        <v>1852</v>
      </c>
      <c r="C129" s="16"/>
      <c r="D129" s="16"/>
      <c r="E129" s="16"/>
      <c r="F129" s="16"/>
      <c r="G129" s="16"/>
      <c r="H129" s="16"/>
      <c r="I129" s="16"/>
      <c r="J129" s="16" t="s">
        <v>3960</v>
      </c>
      <c r="K129" s="16"/>
      <c r="L129" s="16"/>
      <c r="M129" s="16"/>
      <c r="N129" s="16"/>
      <c r="O129" s="16"/>
      <c r="P129" s="16" t="s">
        <v>3960</v>
      </c>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row>
    <row r="130" spans="1:57" ht="15" customHeight="1" x14ac:dyDescent="0.25">
      <c r="A130" s="17" t="s">
        <v>1862</v>
      </c>
      <c r="B130" s="17" t="s">
        <v>1863</v>
      </c>
      <c r="C130" s="16"/>
      <c r="D130" s="16"/>
      <c r="E130" s="16"/>
      <c r="F130" s="16"/>
      <c r="G130" s="16"/>
      <c r="H130" s="16"/>
      <c r="I130" s="16"/>
      <c r="J130" s="16"/>
      <c r="K130" s="16"/>
      <c r="L130" s="16"/>
      <c r="M130" s="16"/>
      <c r="N130" s="16"/>
      <c r="O130" s="16"/>
      <c r="P130" s="16"/>
      <c r="Q130" s="16" t="s">
        <v>3960</v>
      </c>
      <c r="R130" s="16"/>
      <c r="S130" s="16"/>
      <c r="T130" s="16" t="s">
        <v>3960</v>
      </c>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row>
    <row r="131" spans="1:57" ht="15" customHeight="1" x14ac:dyDescent="0.25">
      <c r="A131" s="17" t="s">
        <v>1874</v>
      </c>
      <c r="B131" s="17" t="s">
        <v>1875</v>
      </c>
      <c r="C131" s="16"/>
      <c r="D131" s="16" t="s">
        <v>3960</v>
      </c>
      <c r="E131" s="16" t="s">
        <v>3960</v>
      </c>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row>
    <row r="132" spans="1:57" ht="15" customHeight="1" x14ac:dyDescent="0.25">
      <c r="A132" s="17" t="s">
        <v>1885</v>
      </c>
      <c r="B132" s="17" t="s">
        <v>1886</v>
      </c>
      <c r="C132" s="16"/>
      <c r="D132" s="16"/>
      <c r="E132" s="16"/>
      <c r="F132" s="16"/>
      <c r="G132" s="16"/>
      <c r="H132" s="16"/>
      <c r="I132" s="16"/>
      <c r="J132" s="16"/>
      <c r="K132" s="16"/>
      <c r="L132" s="16"/>
      <c r="M132" s="16"/>
      <c r="N132" s="16"/>
      <c r="O132" s="16"/>
      <c r="P132" s="16"/>
      <c r="Q132" s="16" t="s">
        <v>3960</v>
      </c>
      <c r="R132" s="16"/>
      <c r="S132" s="16"/>
      <c r="T132" s="16" t="s">
        <v>3960</v>
      </c>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row>
    <row r="133" spans="1:57" ht="15" customHeight="1" x14ac:dyDescent="0.25">
      <c r="A133" s="17" t="s">
        <v>1893</v>
      </c>
      <c r="B133" s="17" t="s">
        <v>1895</v>
      </c>
      <c r="C133" s="16"/>
      <c r="D133" s="16"/>
      <c r="E133" s="16"/>
      <c r="F133" s="16"/>
      <c r="G133" s="16"/>
      <c r="H133" s="16"/>
      <c r="I133" s="16"/>
      <c r="J133" s="16"/>
      <c r="K133" s="16"/>
      <c r="L133" s="16"/>
      <c r="M133" s="16"/>
      <c r="N133" s="16"/>
      <c r="O133" s="16"/>
      <c r="P133" s="16"/>
      <c r="Q133" s="16"/>
      <c r="R133" s="16"/>
      <c r="S133" s="16"/>
      <c r="T133" s="16"/>
      <c r="U133" s="16"/>
      <c r="V133" s="16"/>
      <c r="W133" s="16" t="s">
        <v>3960</v>
      </c>
      <c r="X133" s="16"/>
      <c r="Y133" s="16"/>
      <c r="Z133" s="16"/>
      <c r="AA133" s="16"/>
      <c r="AB133" s="16"/>
      <c r="AC133" s="16"/>
      <c r="AD133" s="16"/>
      <c r="AE133" s="16"/>
      <c r="AF133" s="16"/>
      <c r="AG133" s="16"/>
      <c r="AH133" s="16"/>
      <c r="AI133" s="16"/>
      <c r="AJ133" s="16"/>
      <c r="AK133" s="16"/>
      <c r="AL133" s="16"/>
      <c r="AM133" s="16"/>
      <c r="AN133" s="16"/>
      <c r="AO133" s="16"/>
      <c r="AP133" s="16" t="s">
        <v>3960</v>
      </c>
      <c r="AQ133" s="16"/>
      <c r="AR133" s="16"/>
      <c r="AS133" s="16"/>
      <c r="AT133" s="16"/>
      <c r="AU133" s="16"/>
      <c r="AV133" s="16"/>
      <c r="AW133" s="16"/>
      <c r="AX133" s="16"/>
      <c r="AY133" s="16"/>
      <c r="AZ133" s="16"/>
      <c r="BA133" s="16"/>
      <c r="BB133" s="16"/>
      <c r="BC133" s="16"/>
      <c r="BD133" s="16"/>
      <c r="BE133" s="16"/>
    </row>
    <row r="134" spans="1:57" ht="15" customHeight="1" x14ac:dyDescent="0.25">
      <c r="A134" s="17" t="s">
        <v>1905</v>
      </c>
      <c r="B134" s="17" t="s">
        <v>1906</v>
      </c>
      <c r="C134" s="16"/>
      <c r="D134" s="16"/>
      <c r="E134" s="16"/>
      <c r="F134" s="16"/>
      <c r="G134" s="16"/>
      <c r="H134" s="16"/>
      <c r="I134" s="16"/>
      <c r="J134" s="16"/>
      <c r="K134" s="16"/>
      <c r="L134" s="16"/>
      <c r="M134" s="16"/>
      <c r="N134" s="16"/>
      <c r="O134" s="16"/>
      <c r="P134" s="16" t="s">
        <v>3960</v>
      </c>
      <c r="Q134" s="16"/>
      <c r="R134" s="16"/>
      <c r="S134" s="16"/>
      <c r="T134" s="16"/>
      <c r="U134" s="16"/>
      <c r="V134" s="16"/>
      <c r="W134" s="16" t="s">
        <v>3960</v>
      </c>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t="s">
        <v>3960</v>
      </c>
      <c r="AV134" s="16"/>
      <c r="AW134" s="16"/>
      <c r="AX134" s="16"/>
      <c r="AY134" s="16"/>
      <c r="AZ134" s="16"/>
      <c r="BA134" s="16"/>
      <c r="BB134" s="16"/>
      <c r="BC134" s="16"/>
      <c r="BD134" s="16"/>
      <c r="BE134" s="16"/>
    </row>
    <row r="135" spans="1:57" ht="15" customHeight="1" x14ac:dyDescent="0.25">
      <c r="A135" s="17" t="s">
        <v>1915</v>
      </c>
      <c r="B135" s="17" t="s">
        <v>1916</v>
      </c>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t="s">
        <v>3960</v>
      </c>
      <c r="AK135" s="16"/>
      <c r="AL135" s="16" t="s">
        <v>3960</v>
      </c>
      <c r="AM135" s="16"/>
      <c r="AN135" s="16"/>
      <c r="AO135" s="16"/>
      <c r="AP135" s="16"/>
      <c r="AQ135" s="16"/>
      <c r="AR135" s="16"/>
      <c r="AS135" s="16"/>
      <c r="AT135" s="16"/>
      <c r="AU135" s="16"/>
      <c r="AV135" s="16"/>
      <c r="AW135" s="16"/>
      <c r="AX135" s="16"/>
      <c r="AY135" s="16"/>
      <c r="AZ135" s="16"/>
      <c r="BA135" s="16"/>
      <c r="BB135" s="16"/>
      <c r="BC135" s="16"/>
      <c r="BD135" s="16"/>
      <c r="BE135" s="16"/>
    </row>
    <row r="136" spans="1:57" ht="27" customHeight="1" x14ac:dyDescent="0.25">
      <c r="A136" s="17" t="s">
        <v>1927</v>
      </c>
      <c r="B136" s="17" t="s">
        <v>1928</v>
      </c>
      <c r="C136" s="16"/>
      <c r="D136" s="16"/>
      <c r="E136" s="16"/>
      <c r="F136" s="16"/>
      <c r="G136" s="16"/>
      <c r="H136" s="16" t="s">
        <v>3960</v>
      </c>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t="s">
        <v>3960</v>
      </c>
      <c r="AJ136" s="16"/>
      <c r="AK136" s="16"/>
      <c r="AL136" s="16"/>
      <c r="AM136" s="16"/>
      <c r="AN136" s="16"/>
      <c r="AO136" s="16"/>
      <c r="AP136" s="16"/>
      <c r="AQ136" s="16"/>
      <c r="AR136" s="16"/>
      <c r="AS136" s="16"/>
      <c r="AT136" s="16" t="s">
        <v>3960</v>
      </c>
      <c r="AU136" s="16"/>
      <c r="AV136" s="16"/>
      <c r="AW136" s="16"/>
      <c r="AX136" s="16"/>
      <c r="AY136" s="16"/>
      <c r="AZ136" s="16"/>
      <c r="BA136" s="16"/>
      <c r="BB136" s="16"/>
      <c r="BC136" s="16"/>
      <c r="BD136" s="16"/>
      <c r="BE136" s="16"/>
    </row>
    <row r="137" spans="1:57" ht="15" customHeight="1" x14ac:dyDescent="0.25">
      <c r="A137" s="17" t="s">
        <v>1938</v>
      </c>
      <c r="B137" s="17" t="s">
        <v>1940</v>
      </c>
      <c r="C137" s="16"/>
      <c r="D137" s="16"/>
      <c r="E137" s="16"/>
      <c r="F137" s="16"/>
      <c r="G137" s="16"/>
      <c r="H137" s="16"/>
      <c r="I137" s="16"/>
      <c r="J137" s="16"/>
      <c r="K137" s="16"/>
      <c r="L137" s="16" t="s">
        <v>3960</v>
      </c>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t="s">
        <v>3960</v>
      </c>
      <c r="AL137" s="16"/>
      <c r="AM137" s="16"/>
      <c r="AN137" s="16"/>
      <c r="AO137" s="16"/>
      <c r="AP137" s="16"/>
      <c r="AQ137" s="16"/>
      <c r="AR137" s="16"/>
      <c r="AS137" s="16"/>
      <c r="AT137" s="16"/>
      <c r="AU137" s="16"/>
      <c r="AV137" s="16"/>
      <c r="AW137" s="16"/>
      <c r="AX137" s="16"/>
      <c r="AY137" s="16"/>
      <c r="AZ137" s="16"/>
      <c r="BA137" s="16"/>
      <c r="BB137" s="16"/>
      <c r="BC137" s="16"/>
      <c r="BD137" s="16"/>
      <c r="BE137" s="16"/>
    </row>
    <row r="138" spans="1:57" ht="15" customHeight="1" x14ac:dyDescent="0.25">
      <c r="A138" s="17" t="s">
        <v>1951</v>
      </c>
      <c r="B138" s="17" t="s">
        <v>1952</v>
      </c>
      <c r="C138" s="16" t="s">
        <v>3960</v>
      </c>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t="s">
        <v>3960</v>
      </c>
      <c r="AL138" s="16"/>
      <c r="AM138" s="16"/>
      <c r="AN138" s="16"/>
      <c r="AO138" s="16"/>
      <c r="AP138" s="16"/>
      <c r="AQ138" s="16"/>
      <c r="AR138" s="16"/>
      <c r="AS138" s="16"/>
      <c r="AT138" s="16"/>
      <c r="AU138" s="16"/>
      <c r="AV138" s="16"/>
      <c r="AW138" s="16"/>
      <c r="AX138" s="16"/>
      <c r="AY138" s="16"/>
      <c r="AZ138" s="16"/>
      <c r="BA138" s="16"/>
      <c r="BB138" s="16"/>
      <c r="BC138" s="16"/>
      <c r="BD138" s="16"/>
      <c r="BE138" s="16"/>
    </row>
    <row r="139" spans="1:57" ht="15" customHeight="1" x14ac:dyDescent="0.25">
      <c r="A139" s="17" t="s">
        <v>1962</v>
      </c>
      <c r="B139" s="17" t="s">
        <v>1963</v>
      </c>
      <c r="C139" s="16"/>
      <c r="D139" s="16"/>
      <c r="E139" s="16"/>
      <c r="F139" s="16"/>
      <c r="G139" s="16"/>
      <c r="H139" s="16"/>
      <c r="I139" s="16" t="s">
        <v>3960</v>
      </c>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t="s">
        <v>3960</v>
      </c>
      <c r="AL139" s="16"/>
      <c r="AM139" s="16"/>
      <c r="AN139" s="16"/>
      <c r="AO139" s="16"/>
      <c r="AP139" s="16"/>
      <c r="AQ139" s="16"/>
      <c r="AR139" s="16"/>
      <c r="AS139" s="16"/>
      <c r="AT139" s="16"/>
      <c r="AU139" s="16"/>
      <c r="AV139" s="16"/>
      <c r="AW139" s="16"/>
      <c r="AX139" s="16"/>
      <c r="AY139" s="16"/>
      <c r="AZ139" s="16"/>
      <c r="BA139" s="16"/>
      <c r="BB139" s="16"/>
      <c r="BC139" s="16"/>
      <c r="BD139" s="16"/>
      <c r="BE139" s="16"/>
    </row>
    <row r="140" spans="1:57" ht="27" customHeight="1" x14ac:dyDescent="0.25">
      <c r="A140" s="17" t="s">
        <v>1973</v>
      </c>
      <c r="B140" s="17" t="s">
        <v>1974</v>
      </c>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t="s">
        <v>3960</v>
      </c>
      <c r="AF140" s="16"/>
      <c r="AG140" s="16"/>
      <c r="AH140" s="16"/>
      <c r="AI140" s="16"/>
      <c r="AJ140" s="16"/>
      <c r="AK140" s="16" t="s">
        <v>3960</v>
      </c>
      <c r="AL140" s="16"/>
      <c r="AM140" s="16"/>
      <c r="AN140" s="16"/>
      <c r="AO140" s="16"/>
      <c r="AP140" s="16"/>
      <c r="AQ140" s="16"/>
      <c r="AR140" s="16"/>
      <c r="AS140" s="16"/>
      <c r="AT140" s="16"/>
      <c r="AU140" s="16"/>
      <c r="AV140" s="16"/>
      <c r="AW140" s="16"/>
      <c r="AX140" s="16"/>
      <c r="AY140" s="16"/>
      <c r="AZ140" s="16"/>
      <c r="BA140" s="16"/>
      <c r="BB140" s="16"/>
      <c r="BC140" s="16"/>
      <c r="BD140" s="16"/>
      <c r="BE140" s="16"/>
    </row>
    <row r="141" spans="1:57" ht="27" customHeight="1" x14ac:dyDescent="0.25">
      <c r="A141" s="17" t="s">
        <v>1984</v>
      </c>
      <c r="B141" s="17" t="s">
        <v>1985</v>
      </c>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t="s">
        <v>3960</v>
      </c>
      <c r="AL141" s="16"/>
      <c r="AM141" s="16"/>
      <c r="AN141" s="16"/>
      <c r="AO141" s="16"/>
      <c r="AP141" s="16"/>
      <c r="AQ141" s="16"/>
      <c r="AR141" s="16"/>
      <c r="AS141" s="16"/>
      <c r="AT141" s="16"/>
      <c r="AU141" s="16"/>
      <c r="AV141" s="16"/>
      <c r="AW141" s="16"/>
      <c r="AX141" s="16"/>
      <c r="AY141" s="16"/>
      <c r="AZ141" s="16"/>
      <c r="BA141" s="16"/>
      <c r="BB141" s="16"/>
      <c r="BC141" s="16"/>
      <c r="BD141" s="16" t="s">
        <v>3960</v>
      </c>
      <c r="BE141" s="16"/>
    </row>
    <row r="142" spans="1:57" x14ac:dyDescent="0.25">
      <c r="B142" s="3" t="s">
        <v>3965</v>
      </c>
      <c r="C142" s="22">
        <f t="shared" ref="C142:AH142" si="0">COUNTIF(C4:C141,"●")</f>
        <v>9</v>
      </c>
      <c r="D142" s="22">
        <f t="shared" si="0"/>
        <v>12</v>
      </c>
      <c r="E142" s="22">
        <f t="shared" si="0"/>
        <v>6</v>
      </c>
      <c r="F142" s="22">
        <f t="shared" si="0"/>
        <v>4</v>
      </c>
      <c r="G142" s="22">
        <f t="shared" si="0"/>
        <v>1</v>
      </c>
      <c r="H142" s="22">
        <f t="shared" si="0"/>
        <v>13</v>
      </c>
      <c r="I142" s="22">
        <f t="shared" si="0"/>
        <v>10</v>
      </c>
      <c r="J142" s="22">
        <f t="shared" si="0"/>
        <v>8</v>
      </c>
      <c r="K142" s="22">
        <f t="shared" si="0"/>
        <v>11</v>
      </c>
      <c r="L142" s="22">
        <f t="shared" si="0"/>
        <v>5</v>
      </c>
      <c r="M142" s="22">
        <f t="shared" si="0"/>
        <v>3</v>
      </c>
      <c r="N142" s="22">
        <f t="shared" si="0"/>
        <v>24</v>
      </c>
      <c r="O142" s="22">
        <f t="shared" si="0"/>
        <v>3</v>
      </c>
      <c r="P142" s="22">
        <f t="shared" si="0"/>
        <v>5</v>
      </c>
      <c r="Q142" s="22">
        <f t="shared" si="0"/>
        <v>16</v>
      </c>
      <c r="R142" s="22">
        <f t="shared" si="0"/>
        <v>11</v>
      </c>
      <c r="S142" s="22">
        <f t="shared" si="0"/>
        <v>2</v>
      </c>
      <c r="T142" s="22">
        <f t="shared" si="0"/>
        <v>9</v>
      </c>
      <c r="U142" s="22">
        <f t="shared" si="0"/>
        <v>11</v>
      </c>
      <c r="V142" s="22">
        <f t="shared" si="0"/>
        <v>9</v>
      </c>
      <c r="W142" s="22">
        <f t="shared" si="0"/>
        <v>2</v>
      </c>
      <c r="X142" s="22">
        <f t="shared" si="0"/>
        <v>3</v>
      </c>
      <c r="Y142" s="22">
        <f t="shared" si="0"/>
        <v>4</v>
      </c>
      <c r="Z142" s="22">
        <f t="shared" si="0"/>
        <v>14</v>
      </c>
      <c r="AA142" s="22">
        <f t="shared" si="0"/>
        <v>1</v>
      </c>
      <c r="AB142" s="22">
        <f t="shared" si="0"/>
        <v>1</v>
      </c>
      <c r="AC142" s="22">
        <f t="shared" si="0"/>
        <v>4</v>
      </c>
      <c r="AD142" s="22">
        <f t="shared" si="0"/>
        <v>7</v>
      </c>
      <c r="AE142" s="22">
        <f t="shared" si="0"/>
        <v>6</v>
      </c>
      <c r="AF142" s="22">
        <f t="shared" si="0"/>
        <v>4</v>
      </c>
      <c r="AG142" s="22">
        <f t="shared" si="0"/>
        <v>5</v>
      </c>
      <c r="AH142" s="22">
        <f t="shared" si="0"/>
        <v>2</v>
      </c>
      <c r="AI142" s="22">
        <f t="shared" ref="AI142:BE142" si="1">COUNTIF(AI4:AI141,"●")</f>
        <v>5</v>
      </c>
      <c r="AJ142" s="22">
        <f t="shared" si="1"/>
        <v>1</v>
      </c>
      <c r="AK142" s="22">
        <f t="shared" si="1"/>
        <v>6</v>
      </c>
      <c r="AL142" s="22">
        <f t="shared" si="1"/>
        <v>3</v>
      </c>
      <c r="AM142" s="22">
        <f t="shared" si="1"/>
        <v>1</v>
      </c>
      <c r="AN142" s="22">
        <f t="shared" si="1"/>
        <v>3</v>
      </c>
      <c r="AO142" s="22">
        <f t="shared" si="1"/>
        <v>2</v>
      </c>
      <c r="AP142" s="22">
        <f t="shared" si="1"/>
        <v>3</v>
      </c>
      <c r="AQ142" s="22">
        <f t="shared" si="1"/>
        <v>3</v>
      </c>
      <c r="AR142" s="22">
        <f t="shared" si="1"/>
        <v>6</v>
      </c>
      <c r="AS142" s="22">
        <f t="shared" si="1"/>
        <v>2</v>
      </c>
      <c r="AT142" s="22">
        <f t="shared" si="1"/>
        <v>3</v>
      </c>
      <c r="AU142" s="22">
        <f t="shared" si="1"/>
        <v>1</v>
      </c>
      <c r="AV142" s="22">
        <f t="shared" si="1"/>
        <v>1</v>
      </c>
      <c r="AW142" s="22">
        <f t="shared" si="1"/>
        <v>4</v>
      </c>
      <c r="AX142" s="22">
        <f t="shared" si="1"/>
        <v>3</v>
      </c>
      <c r="AY142" s="22">
        <f t="shared" si="1"/>
        <v>1</v>
      </c>
      <c r="AZ142" s="22">
        <f t="shared" si="1"/>
        <v>3</v>
      </c>
      <c r="BA142" s="22">
        <f t="shared" si="1"/>
        <v>6</v>
      </c>
      <c r="BB142" s="22">
        <f t="shared" si="1"/>
        <v>4</v>
      </c>
      <c r="BC142" s="22">
        <f t="shared" si="1"/>
        <v>2</v>
      </c>
      <c r="BD142" s="22">
        <f t="shared" si="1"/>
        <v>5</v>
      </c>
      <c r="BE142" s="22">
        <f t="shared" si="1"/>
        <v>3</v>
      </c>
    </row>
  </sheetData>
  <autoFilter ref="A3:BE141" xr:uid="{00000000-0009-0000-0000-00000A000000}"/>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5597"/>
    <pageSetUpPr fitToPage="1"/>
  </sheetPr>
  <dimension ref="A1:L195"/>
  <sheetViews>
    <sheetView showGridLines="0" tabSelected="1" zoomScaleNormal="100" workbookViewId="0">
      <pane xSplit="1" ySplit="3" topLeftCell="B63" activePane="bottomRight" state="frozen"/>
      <selection pane="topRight" activeCell="B1" sqref="B1"/>
      <selection pane="bottomLeft" activeCell="A4" sqref="A4"/>
      <selection pane="bottomRight" activeCell="I80" sqref="I80"/>
    </sheetView>
  </sheetViews>
  <sheetFormatPr baseColWidth="10" defaultColWidth="8.7109375" defaultRowHeight="15" x14ac:dyDescent="0.25"/>
  <cols>
    <col min="1" max="1" width="10" customWidth="1"/>
    <col min="2" max="2" width="28" customWidth="1"/>
    <col min="3" max="3" width="13" customWidth="1"/>
    <col min="4" max="4" width="36.5703125" customWidth="1"/>
    <col min="5" max="6" width="9" customWidth="1"/>
    <col min="7" max="7" width="10" customWidth="1"/>
    <col min="8" max="8" width="7" customWidth="1"/>
    <col min="9" max="9" width="26" customWidth="1"/>
    <col min="10" max="10" width="34" customWidth="1"/>
    <col min="11" max="11" width="48.28515625" bestFit="1" customWidth="1"/>
    <col min="12" max="12" width="31.5703125" customWidth="1"/>
  </cols>
  <sheetData>
    <row r="1" spans="1:12" ht="18" x14ac:dyDescent="0.25">
      <c r="A1" s="9" t="s">
        <v>3966</v>
      </c>
    </row>
    <row r="2" spans="1:12" x14ac:dyDescent="0.25">
      <c r="A2" s="10" t="s">
        <v>3967</v>
      </c>
    </row>
    <row r="3" spans="1:12" ht="25.5" x14ac:dyDescent="0.25">
      <c r="A3" s="11" t="s">
        <v>229</v>
      </c>
      <c r="B3" s="11" t="s">
        <v>3968</v>
      </c>
      <c r="C3" s="11" t="s">
        <v>34</v>
      </c>
      <c r="D3" s="11" t="s">
        <v>1998</v>
      </c>
      <c r="E3" s="11" t="s">
        <v>102</v>
      </c>
      <c r="F3" s="11" t="s">
        <v>67</v>
      </c>
      <c r="G3" s="11" t="s">
        <v>482</v>
      </c>
      <c r="H3" s="11" t="s">
        <v>53</v>
      </c>
      <c r="I3" s="11" t="s">
        <v>38</v>
      </c>
      <c r="J3" s="11" t="s">
        <v>3969</v>
      </c>
      <c r="K3" s="11" t="s">
        <v>46</v>
      </c>
      <c r="L3" s="11" t="s">
        <v>59</v>
      </c>
    </row>
    <row r="4" spans="1:12" ht="24" x14ac:dyDescent="0.25">
      <c r="A4" s="16" t="s">
        <v>233</v>
      </c>
      <c r="B4" s="17" t="s">
        <v>234</v>
      </c>
      <c r="C4" s="16" t="s">
        <v>485</v>
      </c>
      <c r="D4" s="17" t="s">
        <v>487</v>
      </c>
      <c r="E4" s="16" t="s">
        <v>103</v>
      </c>
      <c r="F4" s="16" t="s">
        <v>73</v>
      </c>
      <c r="G4" s="16" t="s">
        <v>495</v>
      </c>
      <c r="H4" s="16" t="s">
        <v>496</v>
      </c>
      <c r="I4" s="17" t="s">
        <v>498</v>
      </c>
      <c r="J4" s="17" t="s">
        <v>3970</v>
      </c>
      <c r="K4" s="17" t="s">
        <v>497</v>
      </c>
      <c r="L4" s="17" t="s">
        <v>489</v>
      </c>
    </row>
    <row r="5" spans="1:12" x14ac:dyDescent="0.25">
      <c r="A5" s="18" t="s">
        <v>233</v>
      </c>
      <c r="B5" s="19" t="s">
        <v>234</v>
      </c>
      <c r="C5" s="18" t="s">
        <v>500</v>
      </c>
      <c r="D5" s="19" t="s">
        <v>501</v>
      </c>
      <c r="E5" s="18" t="s">
        <v>103</v>
      </c>
      <c r="F5" s="18" t="s">
        <v>79</v>
      </c>
      <c r="G5" s="18" t="s">
        <v>495</v>
      </c>
      <c r="H5" s="18" t="s">
        <v>496</v>
      </c>
      <c r="I5" s="19" t="s">
        <v>511</v>
      </c>
      <c r="J5" s="19" t="s">
        <v>3971</v>
      </c>
      <c r="K5" s="19" t="s">
        <v>510</v>
      </c>
      <c r="L5" s="19" t="s">
        <v>503</v>
      </c>
    </row>
    <row r="6" spans="1:12" x14ac:dyDescent="0.25">
      <c r="A6" s="16" t="s">
        <v>233</v>
      </c>
      <c r="B6" s="17" t="s">
        <v>234</v>
      </c>
      <c r="C6" s="16" t="s">
        <v>512</v>
      </c>
      <c r="D6" s="17" t="s">
        <v>513</v>
      </c>
      <c r="E6" s="16" t="s">
        <v>103</v>
      </c>
      <c r="F6" s="16" t="s">
        <v>79</v>
      </c>
      <c r="G6" s="16" t="s">
        <v>495</v>
      </c>
      <c r="H6" s="16" t="s">
        <v>496</v>
      </c>
      <c r="I6" s="17" t="s">
        <v>522</v>
      </c>
      <c r="J6" s="17" t="s">
        <v>3972</v>
      </c>
      <c r="K6" s="17" t="s">
        <v>521</v>
      </c>
      <c r="L6" s="17" t="s">
        <v>515</v>
      </c>
    </row>
    <row r="7" spans="1:12" x14ac:dyDescent="0.25">
      <c r="A7" s="18" t="s">
        <v>233</v>
      </c>
      <c r="B7" s="19" t="s">
        <v>234</v>
      </c>
      <c r="C7" s="18" t="s">
        <v>523</v>
      </c>
      <c r="D7" s="19" t="s">
        <v>524</v>
      </c>
      <c r="E7" s="18" t="s">
        <v>103</v>
      </c>
      <c r="F7" s="18" t="s">
        <v>79</v>
      </c>
      <c r="G7" s="18" t="s">
        <v>495</v>
      </c>
      <c r="H7" s="18" t="s">
        <v>496</v>
      </c>
      <c r="I7" s="19" t="s">
        <v>522</v>
      </c>
      <c r="J7" s="19" t="s">
        <v>3973</v>
      </c>
      <c r="K7" s="19" t="s">
        <v>532</v>
      </c>
      <c r="L7" s="19" t="s">
        <v>526</v>
      </c>
    </row>
    <row r="8" spans="1:12" x14ac:dyDescent="0.25">
      <c r="A8" s="16" t="s">
        <v>233</v>
      </c>
      <c r="B8" s="17" t="s">
        <v>234</v>
      </c>
      <c r="C8" s="16" t="s">
        <v>533</v>
      </c>
      <c r="D8" s="17" t="s">
        <v>534</v>
      </c>
      <c r="E8" s="16" t="s">
        <v>103</v>
      </c>
      <c r="F8" s="16" t="s">
        <v>73</v>
      </c>
      <c r="G8" s="16" t="s">
        <v>495</v>
      </c>
      <c r="H8" s="16" t="s">
        <v>496</v>
      </c>
      <c r="I8" s="17" t="s">
        <v>543</v>
      </c>
      <c r="J8" s="17" t="s">
        <v>3974</v>
      </c>
      <c r="K8" s="17" t="s">
        <v>542</v>
      </c>
      <c r="L8" s="17" t="s">
        <v>536</v>
      </c>
    </row>
    <row r="9" spans="1:12" x14ac:dyDescent="0.25">
      <c r="A9" s="18" t="s">
        <v>233</v>
      </c>
      <c r="B9" s="19" t="s">
        <v>234</v>
      </c>
      <c r="C9" s="18" t="s">
        <v>544</v>
      </c>
      <c r="D9" s="19" t="s">
        <v>545</v>
      </c>
      <c r="E9" s="18" t="s">
        <v>103</v>
      </c>
      <c r="F9" s="18" t="s">
        <v>73</v>
      </c>
      <c r="G9" s="18" t="s">
        <v>495</v>
      </c>
      <c r="H9" s="18" t="s">
        <v>496</v>
      </c>
      <c r="I9" s="19" t="s">
        <v>554</v>
      </c>
      <c r="J9" s="19" t="s">
        <v>3975</v>
      </c>
      <c r="K9" s="19" t="s">
        <v>553</v>
      </c>
      <c r="L9" s="19" t="s">
        <v>547</v>
      </c>
    </row>
    <row r="10" spans="1:12" ht="24" x14ac:dyDescent="0.25">
      <c r="A10" s="16" t="s">
        <v>233</v>
      </c>
      <c r="B10" s="17" t="s">
        <v>234</v>
      </c>
      <c r="C10" s="16" t="s">
        <v>555</v>
      </c>
      <c r="D10" s="17" t="s">
        <v>556</v>
      </c>
      <c r="E10" s="16" t="s">
        <v>103</v>
      </c>
      <c r="F10" s="16" t="s">
        <v>84</v>
      </c>
      <c r="G10" s="16" t="s">
        <v>495</v>
      </c>
      <c r="H10" s="16" t="s">
        <v>496</v>
      </c>
      <c r="I10" s="17" t="s">
        <v>565</v>
      </c>
      <c r="J10" s="17" t="s">
        <v>3976</v>
      </c>
      <c r="K10" s="17" t="s">
        <v>564</v>
      </c>
      <c r="L10" s="17" t="s">
        <v>558</v>
      </c>
    </row>
    <row r="11" spans="1:12" x14ac:dyDescent="0.25">
      <c r="A11" s="18" t="s">
        <v>233</v>
      </c>
      <c r="B11" s="19" t="s">
        <v>234</v>
      </c>
      <c r="C11" s="18" t="s">
        <v>704</v>
      </c>
      <c r="D11" s="19" t="s">
        <v>705</v>
      </c>
      <c r="E11" s="18" t="s">
        <v>107</v>
      </c>
      <c r="F11" s="18" t="s">
        <v>79</v>
      </c>
      <c r="G11" s="18" t="s">
        <v>713</v>
      </c>
      <c r="H11" s="18" t="s">
        <v>678</v>
      </c>
      <c r="I11" s="19" t="s">
        <v>716</v>
      </c>
      <c r="J11" s="19" t="s">
        <v>3977</v>
      </c>
      <c r="K11" s="19" t="s">
        <v>715</v>
      </c>
      <c r="L11" s="19" t="s">
        <v>707</v>
      </c>
    </row>
    <row r="12" spans="1:12" x14ac:dyDescent="0.25">
      <c r="A12" s="16" t="s">
        <v>233</v>
      </c>
      <c r="B12" s="17" t="s">
        <v>234</v>
      </c>
      <c r="C12" s="16" t="s">
        <v>986</v>
      </c>
      <c r="D12" s="17" t="s">
        <v>987</v>
      </c>
      <c r="E12" s="16" t="s">
        <v>124</v>
      </c>
      <c r="F12" s="16" t="s">
        <v>73</v>
      </c>
      <c r="G12" s="16" t="s">
        <v>495</v>
      </c>
      <c r="H12" s="16" t="s">
        <v>496</v>
      </c>
      <c r="I12" s="17" t="s">
        <v>997</v>
      </c>
      <c r="J12" s="17" t="s">
        <v>3978</v>
      </c>
      <c r="K12" s="17" t="s">
        <v>996</v>
      </c>
      <c r="L12" s="17" t="s">
        <v>990</v>
      </c>
    </row>
    <row r="13" spans="1:12" x14ac:dyDescent="0.25">
      <c r="A13" s="18" t="s">
        <v>233</v>
      </c>
      <c r="B13" s="19" t="s">
        <v>234</v>
      </c>
      <c r="C13" s="18" t="s">
        <v>1039</v>
      </c>
      <c r="D13" s="19" t="s">
        <v>1041</v>
      </c>
      <c r="E13" s="18" t="s">
        <v>127</v>
      </c>
      <c r="F13" s="18" t="s">
        <v>79</v>
      </c>
      <c r="G13" s="18" t="s">
        <v>495</v>
      </c>
      <c r="H13" s="18" t="s">
        <v>496</v>
      </c>
      <c r="I13" s="19" t="s">
        <v>1051</v>
      </c>
      <c r="J13" s="19" t="s">
        <v>3979</v>
      </c>
      <c r="K13" s="19" t="s">
        <v>1050</v>
      </c>
      <c r="L13" s="19" t="s">
        <v>1043</v>
      </c>
    </row>
    <row r="14" spans="1:12" x14ac:dyDescent="0.25">
      <c r="A14" s="16" t="s">
        <v>233</v>
      </c>
      <c r="B14" s="17" t="s">
        <v>234</v>
      </c>
      <c r="C14" s="16" t="s">
        <v>1270</v>
      </c>
      <c r="D14" s="17" t="s">
        <v>1271</v>
      </c>
      <c r="E14" s="16" t="s">
        <v>130</v>
      </c>
      <c r="F14" s="16" t="s">
        <v>73</v>
      </c>
      <c r="G14" s="16" t="s">
        <v>495</v>
      </c>
      <c r="H14" s="16" t="s">
        <v>678</v>
      </c>
      <c r="I14" s="17" t="s">
        <v>1281</v>
      </c>
      <c r="J14" s="17" t="s">
        <v>3980</v>
      </c>
      <c r="K14" s="17" t="s">
        <v>1280</v>
      </c>
      <c r="L14" s="17" t="s">
        <v>1274</v>
      </c>
    </row>
    <row r="15" spans="1:12" ht="24" x14ac:dyDescent="0.25">
      <c r="A15" s="18" t="s">
        <v>233</v>
      </c>
      <c r="B15" s="19" t="s">
        <v>234</v>
      </c>
      <c r="C15" s="18" t="s">
        <v>1610</v>
      </c>
      <c r="D15" s="19" t="s">
        <v>1611</v>
      </c>
      <c r="E15" s="18" t="s">
        <v>148</v>
      </c>
      <c r="F15" s="18" t="s">
        <v>73</v>
      </c>
      <c r="G15" s="18" t="s">
        <v>495</v>
      </c>
      <c r="H15" s="18" t="s">
        <v>496</v>
      </c>
      <c r="I15" s="19" t="s">
        <v>1620</v>
      </c>
      <c r="J15" s="19" t="s">
        <v>3981</v>
      </c>
      <c r="K15" s="19" t="s">
        <v>1619</v>
      </c>
      <c r="L15" s="19" t="s">
        <v>1613</v>
      </c>
    </row>
    <row r="16" spans="1:12" x14ac:dyDescent="0.25">
      <c r="A16" s="16" t="s">
        <v>233</v>
      </c>
      <c r="B16" s="17" t="s">
        <v>234</v>
      </c>
      <c r="C16" s="16" t="s">
        <v>1938</v>
      </c>
      <c r="D16" s="17" t="s">
        <v>1940</v>
      </c>
      <c r="E16" s="16" t="s">
        <v>167</v>
      </c>
      <c r="F16" s="16" t="s">
        <v>90</v>
      </c>
      <c r="G16" s="16" t="s">
        <v>495</v>
      </c>
      <c r="H16" s="16" t="s">
        <v>496</v>
      </c>
      <c r="I16" s="17" t="s">
        <v>1950</v>
      </c>
      <c r="J16" s="17" t="s">
        <v>3982</v>
      </c>
      <c r="K16" s="17" t="s">
        <v>1949</v>
      </c>
      <c r="L16" s="17" t="s">
        <v>1942</v>
      </c>
    </row>
    <row r="17" spans="1:12" ht="24" x14ac:dyDescent="0.25">
      <c r="A17" s="18" t="s">
        <v>240</v>
      </c>
      <c r="B17" s="19" t="s">
        <v>241</v>
      </c>
      <c r="C17" s="18" t="s">
        <v>566</v>
      </c>
      <c r="D17" s="19" t="s">
        <v>568</v>
      </c>
      <c r="E17" s="18" t="s">
        <v>107</v>
      </c>
      <c r="F17" s="18" t="s">
        <v>84</v>
      </c>
      <c r="G17" s="18" t="s">
        <v>495</v>
      </c>
      <c r="H17" s="18" t="s">
        <v>496</v>
      </c>
      <c r="I17" s="19" t="s">
        <v>578</v>
      </c>
      <c r="J17" s="19" t="s">
        <v>3983</v>
      </c>
      <c r="K17" s="19" t="s">
        <v>577</v>
      </c>
      <c r="L17" s="19" t="s">
        <v>571</v>
      </c>
    </row>
    <row r="18" spans="1:12" x14ac:dyDescent="0.25">
      <c r="A18" s="16" t="s">
        <v>240</v>
      </c>
      <c r="B18" s="17" t="s">
        <v>241</v>
      </c>
      <c r="C18" s="16" t="s">
        <v>579</v>
      </c>
      <c r="D18" s="17" t="s">
        <v>580</v>
      </c>
      <c r="E18" s="16" t="s">
        <v>107</v>
      </c>
      <c r="F18" s="16" t="s">
        <v>79</v>
      </c>
      <c r="G18" s="16" t="s">
        <v>495</v>
      </c>
      <c r="H18" s="16" t="s">
        <v>496</v>
      </c>
      <c r="I18" s="17" t="s">
        <v>589</v>
      </c>
      <c r="J18" s="17" t="s">
        <v>3984</v>
      </c>
      <c r="K18" s="17" t="s">
        <v>588</v>
      </c>
      <c r="L18" s="17" t="s">
        <v>582</v>
      </c>
    </row>
    <row r="19" spans="1:12" x14ac:dyDescent="0.25">
      <c r="A19" s="18" t="s">
        <v>240</v>
      </c>
      <c r="B19" s="19" t="s">
        <v>241</v>
      </c>
      <c r="C19" s="18" t="s">
        <v>590</v>
      </c>
      <c r="D19" s="19" t="s">
        <v>591</v>
      </c>
      <c r="E19" s="18" t="s">
        <v>107</v>
      </c>
      <c r="F19" s="18" t="s">
        <v>95</v>
      </c>
      <c r="G19" s="18" t="s">
        <v>495</v>
      </c>
      <c r="H19" s="18" t="s">
        <v>496</v>
      </c>
      <c r="I19" s="19" t="s">
        <v>600</v>
      </c>
      <c r="J19" s="19" t="s">
        <v>3985</v>
      </c>
      <c r="K19" s="19" t="s">
        <v>599</v>
      </c>
      <c r="L19" s="19" t="s">
        <v>594</v>
      </c>
    </row>
    <row r="20" spans="1:12" ht="24" x14ac:dyDescent="0.25">
      <c r="A20" s="16" t="s">
        <v>240</v>
      </c>
      <c r="B20" s="17" t="s">
        <v>241</v>
      </c>
      <c r="C20" s="16" t="s">
        <v>601</v>
      </c>
      <c r="D20" s="17" t="s">
        <v>602</v>
      </c>
      <c r="E20" s="16" t="s">
        <v>107</v>
      </c>
      <c r="F20" s="16" t="s">
        <v>79</v>
      </c>
      <c r="G20" s="16" t="s">
        <v>495</v>
      </c>
      <c r="H20" s="16" t="s">
        <v>496</v>
      </c>
      <c r="I20" s="17" t="s">
        <v>610</v>
      </c>
      <c r="J20" s="17" t="s">
        <v>3986</v>
      </c>
      <c r="K20" s="17" t="s">
        <v>599</v>
      </c>
      <c r="L20" s="17" t="s">
        <v>604</v>
      </c>
    </row>
    <row r="21" spans="1:12" x14ac:dyDescent="0.25">
      <c r="A21" s="18" t="s">
        <v>240</v>
      </c>
      <c r="B21" s="19" t="s">
        <v>241</v>
      </c>
      <c r="C21" s="18" t="s">
        <v>611</v>
      </c>
      <c r="D21" s="19" t="s">
        <v>612</v>
      </c>
      <c r="E21" s="18" t="s">
        <v>107</v>
      </c>
      <c r="F21" s="18" t="s">
        <v>79</v>
      </c>
      <c r="G21" s="18" t="s">
        <v>619</v>
      </c>
      <c r="H21" s="18" t="s">
        <v>496</v>
      </c>
      <c r="I21" s="19" t="s">
        <v>543</v>
      </c>
      <c r="J21" s="19" t="s">
        <v>3987</v>
      </c>
      <c r="K21" s="19" t="s">
        <v>620</v>
      </c>
      <c r="L21" s="19" t="s">
        <v>614</v>
      </c>
    </row>
    <row r="22" spans="1:12" ht="24" x14ac:dyDescent="0.25">
      <c r="A22" s="16" t="s">
        <v>240</v>
      </c>
      <c r="B22" s="17" t="s">
        <v>241</v>
      </c>
      <c r="C22" s="16" t="s">
        <v>621</v>
      </c>
      <c r="D22" s="17" t="s">
        <v>622</v>
      </c>
      <c r="E22" s="16" t="s">
        <v>107</v>
      </c>
      <c r="F22" s="16" t="s">
        <v>79</v>
      </c>
      <c r="G22" s="16" t="s">
        <v>495</v>
      </c>
      <c r="H22" s="16" t="s">
        <v>496</v>
      </c>
      <c r="I22" s="17" t="s">
        <v>631</v>
      </c>
      <c r="J22" s="17" t="s">
        <v>3988</v>
      </c>
      <c r="K22" s="17" t="s">
        <v>630</v>
      </c>
      <c r="L22" s="17" t="s">
        <v>624</v>
      </c>
    </row>
    <row r="23" spans="1:12" ht="24" x14ac:dyDescent="0.25">
      <c r="A23" s="18" t="s">
        <v>240</v>
      </c>
      <c r="B23" s="19" t="s">
        <v>241</v>
      </c>
      <c r="C23" s="18" t="s">
        <v>632</v>
      </c>
      <c r="D23" s="19" t="s">
        <v>633</v>
      </c>
      <c r="E23" s="18" t="s">
        <v>107</v>
      </c>
      <c r="F23" s="18" t="s">
        <v>79</v>
      </c>
      <c r="G23" s="18" t="s">
        <v>495</v>
      </c>
      <c r="H23" s="18" t="s">
        <v>496</v>
      </c>
      <c r="I23" s="19" t="s">
        <v>640</v>
      </c>
      <c r="J23" s="19" t="s">
        <v>3989</v>
      </c>
      <c r="K23" s="19" t="s">
        <v>599</v>
      </c>
      <c r="L23" s="19" t="s">
        <v>635</v>
      </c>
    </row>
    <row r="24" spans="1:12" ht="24" x14ac:dyDescent="0.25">
      <c r="A24" s="16" t="s">
        <v>240</v>
      </c>
      <c r="B24" s="17" t="s">
        <v>241</v>
      </c>
      <c r="C24" s="16" t="s">
        <v>641</v>
      </c>
      <c r="D24" s="17" t="s">
        <v>642</v>
      </c>
      <c r="E24" s="16" t="s">
        <v>107</v>
      </c>
      <c r="F24" s="16" t="s">
        <v>84</v>
      </c>
      <c r="G24" s="16" t="s">
        <v>495</v>
      </c>
      <c r="H24" s="16" t="s">
        <v>496</v>
      </c>
      <c r="I24" s="17" t="s">
        <v>651</v>
      </c>
      <c r="J24" s="17" t="s">
        <v>3990</v>
      </c>
      <c r="K24" s="17" t="s">
        <v>650</v>
      </c>
      <c r="L24" s="17" t="s">
        <v>644</v>
      </c>
    </row>
    <row r="25" spans="1:12" ht="24" x14ac:dyDescent="0.25">
      <c r="A25" s="18" t="s">
        <v>240</v>
      </c>
      <c r="B25" s="19" t="s">
        <v>241</v>
      </c>
      <c r="C25" s="18" t="s">
        <v>652</v>
      </c>
      <c r="D25" s="19" t="s">
        <v>653</v>
      </c>
      <c r="E25" s="18" t="s">
        <v>107</v>
      </c>
      <c r="F25" s="18" t="s">
        <v>95</v>
      </c>
      <c r="G25" s="18" t="s">
        <v>495</v>
      </c>
      <c r="H25" s="18" t="s">
        <v>496</v>
      </c>
      <c r="I25" s="19" t="s">
        <v>660</v>
      </c>
      <c r="J25" s="19" t="s">
        <v>3991</v>
      </c>
      <c r="K25" s="19" t="s">
        <v>650</v>
      </c>
      <c r="L25" s="19" t="s">
        <v>655</v>
      </c>
    </row>
    <row r="26" spans="1:12" x14ac:dyDescent="0.25">
      <c r="A26" s="16" t="s">
        <v>240</v>
      </c>
      <c r="B26" s="17" t="s">
        <v>241</v>
      </c>
      <c r="C26" s="16" t="s">
        <v>661</v>
      </c>
      <c r="D26" s="17" t="s">
        <v>662</v>
      </c>
      <c r="E26" s="16" t="s">
        <v>107</v>
      </c>
      <c r="F26" s="16" t="s">
        <v>84</v>
      </c>
      <c r="G26" s="16" t="s">
        <v>495</v>
      </c>
      <c r="H26" s="16" t="s">
        <v>496</v>
      </c>
      <c r="I26" s="17" t="s">
        <v>589</v>
      </c>
      <c r="J26" s="17" t="s">
        <v>3992</v>
      </c>
      <c r="K26" s="17" t="s">
        <v>599</v>
      </c>
      <c r="L26" s="17" t="s">
        <v>664</v>
      </c>
    </row>
    <row r="27" spans="1:12" x14ac:dyDescent="0.25">
      <c r="A27" s="18" t="s">
        <v>240</v>
      </c>
      <c r="B27" s="19" t="s">
        <v>241</v>
      </c>
      <c r="C27" s="18" t="s">
        <v>669</v>
      </c>
      <c r="D27" s="19" t="s">
        <v>670</v>
      </c>
      <c r="E27" s="18" t="s">
        <v>107</v>
      </c>
      <c r="F27" s="18" t="s">
        <v>79</v>
      </c>
      <c r="G27" s="18" t="s">
        <v>619</v>
      </c>
      <c r="H27" s="18" t="s">
        <v>678</v>
      </c>
      <c r="I27" s="19" t="s">
        <v>679</v>
      </c>
      <c r="J27" s="19" t="s">
        <v>3993</v>
      </c>
      <c r="K27" s="19" t="s">
        <v>599</v>
      </c>
      <c r="L27" s="19" t="s">
        <v>673</v>
      </c>
    </row>
    <row r="28" spans="1:12" x14ac:dyDescent="0.25">
      <c r="A28" s="16" t="s">
        <v>240</v>
      </c>
      <c r="B28" s="17" t="s">
        <v>241</v>
      </c>
      <c r="C28" s="16" t="s">
        <v>680</v>
      </c>
      <c r="D28" s="17" t="s">
        <v>681</v>
      </c>
      <c r="E28" s="16" t="s">
        <v>107</v>
      </c>
      <c r="F28" s="16" t="s">
        <v>79</v>
      </c>
      <c r="G28" s="16" t="s">
        <v>619</v>
      </c>
      <c r="H28" s="16" t="s">
        <v>496</v>
      </c>
      <c r="I28" s="17" t="s">
        <v>691</v>
      </c>
      <c r="J28" s="17" t="s">
        <v>3994</v>
      </c>
      <c r="K28" s="17" t="s">
        <v>690</v>
      </c>
      <c r="L28" s="17" t="s">
        <v>684</v>
      </c>
    </row>
    <row r="29" spans="1:12" x14ac:dyDescent="0.25">
      <c r="A29" s="18" t="s">
        <v>240</v>
      </c>
      <c r="B29" s="19" t="s">
        <v>241</v>
      </c>
      <c r="C29" s="18" t="s">
        <v>692</v>
      </c>
      <c r="D29" s="19" t="s">
        <v>693</v>
      </c>
      <c r="E29" s="18" t="s">
        <v>107</v>
      </c>
      <c r="F29" s="18" t="s">
        <v>79</v>
      </c>
      <c r="G29" s="18" t="s">
        <v>495</v>
      </c>
      <c r="H29" s="18" t="s">
        <v>496</v>
      </c>
      <c r="I29" s="19" t="s">
        <v>703</v>
      </c>
      <c r="J29" s="19" t="s">
        <v>3995</v>
      </c>
      <c r="K29" s="19" t="s">
        <v>702</v>
      </c>
      <c r="L29" s="19" t="s">
        <v>696</v>
      </c>
    </row>
    <row r="30" spans="1:12" x14ac:dyDescent="0.25">
      <c r="A30" s="16" t="s">
        <v>240</v>
      </c>
      <c r="B30" s="17" t="s">
        <v>241</v>
      </c>
      <c r="C30" s="16" t="s">
        <v>704</v>
      </c>
      <c r="D30" s="17" t="s">
        <v>705</v>
      </c>
      <c r="E30" s="16" t="s">
        <v>107</v>
      </c>
      <c r="F30" s="16" t="s">
        <v>79</v>
      </c>
      <c r="G30" s="16" t="s">
        <v>713</v>
      </c>
      <c r="H30" s="16" t="s">
        <v>678</v>
      </c>
      <c r="I30" s="17" t="s">
        <v>716</v>
      </c>
      <c r="J30" s="17" t="s">
        <v>3977</v>
      </c>
      <c r="K30" s="17" t="s">
        <v>715</v>
      </c>
      <c r="L30" s="17" t="s">
        <v>707</v>
      </c>
    </row>
    <row r="31" spans="1:12" ht="24" x14ac:dyDescent="0.25">
      <c r="A31" s="18" t="s">
        <v>247</v>
      </c>
      <c r="B31" s="19" t="s">
        <v>248</v>
      </c>
      <c r="C31" s="18" t="s">
        <v>566</v>
      </c>
      <c r="D31" s="19" t="s">
        <v>568</v>
      </c>
      <c r="E31" s="18" t="s">
        <v>107</v>
      </c>
      <c r="F31" s="18" t="s">
        <v>84</v>
      </c>
      <c r="G31" s="18" t="s">
        <v>495</v>
      </c>
      <c r="H31" s="18" t="s">
        <v>496</v>
      </c>
      <c r="I31" s="19" t="s">
        <v>578</v>
      </c>
      <c r="J31" s="19" t="s">
        <v>3983</v>
      </c>
      <c r="K31" s="19" t="s">
        <v>577</v>
      </c>
      <c r="L31" s="19" t="s">
        <v>571</v>
      </c>
    </row>
    <row r="32" spans="1:12" ht="24" x14ac:dyDescent="0.25">
      <c r="A32" s="16" t="s">
        <v>247</v>
      </c>
      <c r="B32" s="17" t="s">
        <v>248</v>
      </c>
      <c r="C32" s="16" t="s">
        <v>717</v>
      </c>
      <c r="D32" s="17" t="s">
        <v>719</v>
      </c>
      <c r="E32" s="16" t="s">
        <v>111</v>
      </c>
      <c r="F32" s="16" t="s">
        <v>73</v>
      </c>
      <c r="G32" s="16" t="s">
        <v>495</v>
      </c>
      <c r="H32" s="16" t="s">
        <v>496</v>
      </c>
      <c r="I32" s="17" t="s">
        <v>727</v>
      </c>
      <c r="J32" s="17" t="s">
        <v>3996</v>
      </c>
      <c r="K32" s="17" t="s">
        <v>726</v>
      </c>
      <c r="L32" s="17" t="s">
        <v>721</v>
      </c>
    </row>
    <row r="33" spans="1:12" ht="24" x14ac:dyDescent="0.25">
      <c r="A33" s="18" t="s">
        <v>247</v>
      </c>
      <c r="B33" s="19" t="s">
        <v>248</v>
      </c>
      <c r="C33" s="18" t="s">
        <v>728</v>
      </c>
      <c r="D33" s="19" t="s">
        <v>729</v>
      </c>
      <c r="E33" s="18" t="s">
        <v>111</v>
      </c>
      <c r="F33" s="18" t="s">
        <v>73</v>
      </c>
      <c r="G33" s="18" t="s">
        <v>495</v>
      </c>
      <c r="H33" s="18" t="s">
        <v>496</v>
      </c>
      <c r="I33" s="19" t="s">
        <v>738</v>
      </c>
      <c r="J33" s="19" t="s">
        <v>3997</v>
      </c>
      <c r="K33" s="19" t="s">
        <v>726</v>
      </c>
      <c r="L33" s="19" t="s">
        <v>732</v>
      </c>
    </row>
    <row r="34" spans="1:12" ht="24" x14ac:dyDescent="0.25">
      <c r="A34" s="16" t="s">
        <v>247</v>
      </c>
      <c r="B34" s="17" t="s">
        <v>248</v>
      </c>
      <c r="C34" s="16" t="s">
        <v>739</v>
      </c>
      <c r="D34" s="17" t="s">
        <v>740</v>
      </c>
      <c r="E34" s="16" t="s">
        <v>111</v>
      </c>
      <c r="F34" s="16" t="s">
        <v>84</v>
      </c>
      <c r="G34" s="16" t="s">
        <v>495</v>
      </c>
      <c r="H34" s="16" t="s">
        <v>496</v>
      </c>
      <c r="I34" s="17" t="s">
        <v>749</v>
      </c>
      <c r="J34" s="17" t="s">
        <v>3998</v>
      </c>
      <c r="K34" s="17" t="s">
        <v>748</v>
      </c>
      <c r="L34" s="17" t="s">
        <v>743</v>
      </c>
    </row>
    <row r="35" spans="1:12" ht="24" x14ac:dyDescent="0.25">
      <c r="A35" s="18" t="s">
        <v>247</v>
      </c>
      <c r="B35" s="19" t="s">
        <v>248</v>
      </c>
      <c r="C35" s="18" t="s">
        <v>750</v>
      </c>
      <c r="D35" s="19" t="s">
        <v>751</v>
      </c>
      <c r="E35" s="18" t="s">
        <v>111</v>
      </c>
      <c r="F35" s="18" t="s">
        <v>79</v>
      </c>
      <c r="G35" s="18" t="s">
        <v>619</v>
      </c>
      <c r="H35" s="18" t="s">
        <v>496</v>
      </c>
      <c r="I35" s="19" t="s">
        <v>758</v>
      </c>
      <c r="J35" s="19" t="s">
        <v>3999</v>
      </c>
      <c r="K35" s="19" t="s">
        <v>748</v>
      </c>
      <c r="L35" s="19" t="s">
        <v>753</v>
      </c>
    </row>
    <row r="36" spans="1:12" ht="24" x14ac:dyDescent="0.25">
      <c r="A36" s="16" t="s">
        <v>247</v>
      </c>
      <c r="B36" s="17" t="s">
        <v>248</v>
      </c>
      <c r="C36" s="16" t="s">
        <v>759</v>
      </c>
      <c r="D36" s="17" t="s">
        <v>760</v>
      </c>
      <c r="E36" s="16" t="s">
        <v>111</v>
      </c>
      <c r="F36" s="16" t="s">
        <v>79</v>
      </c>
      <c r="G36" s="16" t="s">
        <v>495</v>
      </c>
      <c r="H36" s="16" t="s">
        <v>496</v>
      </c>
      <c r="I36" s="17" t="s">
        <v>767</v>
      </c>
      <c r="J36" s="17" t="s">
        <v>4000</v>
      </c>
      <c r="K36" s="17" t="s">
        <v>748</v>
      </c>
      <c r="L36" s="17" t="s">
        <v>762</v>
      </c>
    </row>
    <row r="37" spans="1:12" ht="24" x14ac:dyDescent="0.25">
      <c r="A37" s="18" t="s">
        <v>247</v>
      </c>
      <c r="B37" s="19" t="s">
        <v>248</v>
      </c>
      <c r="C37" s="18" t="s">
        <v>768</v>
      </c>
      <c r="D37" s="19" t="s">
        <v>769</v>
      </c>
      <c r="E37" s="18" t="s">
        <v>111</v>
      </c>
      <c r="F37" s="18" t="s">
        <v>84</v>
      </c>
      <c r="G37" s="18" t="s">
        <v>495</v>
      </c>
      <c r="H37" s="18" t="s">
        <v>496</v>
      </c>
      <c r="I37" s="19" t="s">
        <v>776</v>
      </c>
      <c r="J37" s="19" t="s">
        <v>4001</v>
      </c>
      <c r="K37" s="19" t="s">
        <v>748</v>
      </c>
      <c r="L37" s="19" t="s">
        <v>743</v>
      </c>
    </row>
    <row r="38" spans="1:12" ht="24" x14ac:dyDescent="0.25">
      <c r="A38" s="16" t="s">
        <v>247</v>
      </c>
      <c r="B38" s="17" t="s">
        <v>248</v>
      </c>
      <c r="C38" s="16" t="s">
        <v>777</v>
      </c>
      <c r="D38" s="17" t="s">
        <v>778</v>
      </c>
      <c r="E38" s="16" t="s">
        <v>111</v>
      </c>
      <c r="F38" s="16" t="s">
        <v>73</v>
      </c>
      <c r="G38" s="16" t="s">
        <v>495</v>
      </c>
      <c r="H38" s="16" t="s">
        <v>496</v>
      </c>
      <c r="I38" s="17" t="s">
        <v>787</v>
      </c>
      <c r="J38" s="17" t="s">
        <v>4002</v>
      </c>
      <c r="K38" s="17" t="s">
        <v>786</v>
      </c>
      <c r="L38" s="17" t="s">
        <v>780</v>
      </c>
    </row>
    <row r="39" spans="1:12" ht="24" x14ac:dyDescent="0.25">
      <c r="A39" s="18" t="s">
        <v>247</v>
      </c>
      <c r="B39" s="19" t="s">
        <v>248</v>
      </c>
      <c r="C39" s="18" t="s">
        <v>788</v>
      </c>
      <c r="D39" s="19" t="s">
        <v>789</v>
      </c>
      <c r="E39" s="18" t="s">
        <v>111</v>
      </c>
      <c r="F39" s="18" t="s">
        <v>79</v>
      </c>
      <c r="G39" s="18" t="s">
        <v>495</v>
      </c>
      <c r="H39" s="18" t="s">
        <v>496</v>
      </c>
      <c r="I39" s="19" t="s">
        <v>799</v>
      </c>
      <c r="J39" s="19" t="s">
        <v>4003</v>
      </c>
      <c r="K39" s="19" t="s">
        <v>798</v>
      </c>
      <c r="L39" s="19" t="s">
        <v>791</v>
      </c>
    </row>
    <row r="40" spans="1:12" ht="24" x14ac:dyDescent="0.25">
      <c r="A40" s="16" t="s">
        <v>247</v>
      </c>
      <c r="B40" s="17" t="s">
        <v>248</v>
      </c>
      <c r="C40" s="16" t="s">
        <v>800</v>
      </c>
      <c r="D40" s="17" t="s">
        <v>802</v>
      </c>
      <c r="E40" s="16" t="s">
        <v>114</v>
      </c>
      <c r="F40" s="16" t="s">
        <v>84</v>
      </c>
      <c r="G40" s="16" t="s">
        <v>495</v>
      </c>
      <c r="H40" s="16" t="s">
        <v>496</v>
      </c>
      <c r="I40" s="17" t="s">
        <v>810</v>
      </c>
      <c r="J40" s="17" t="s">
        <v>4004</v>
      </c>
      <c r="K40" s="17" t="s">
        <v>809</v>
      </c>
      <c r="L40" s="17" t="s">
        <v>804</v>
      </c>
    </row>
    <row r="41" spans="1:12" ht="24" x14ac:dyDescent="0.25">
      <c r="A41" s="18" t="s">
        <v>247</v>
      </c>
      <c r="B41" s="19" t="s">
        <v>248</v>
      </c>
      <c r="C41" s="18" t="s">
        <v>811</v>
      </c>
      <c r="D41" s="19" t="s">
        <v>812</v>
      </c>
      <c r="E41" s="18" t="s">
        <v>114</v>
      </c>
      <c r="F41" s="18" t="s">
        <v>79</v>
      </c>
      <c r="G41" s="18" t="s">
        <v>495</v>
      </c>
      <c r="H41" s="18" t="s">
        <v>496</v>
      </c>
      <c r="I41" s="19" t="s">
        <v>821</v>
      </c>
      <c r="J41" s="19" t="s">
        <v>4005</v>
      </c>
      <c r="K41" s="19" t="s">
        <v>820</v>
      </c>
      <c r="L41" s="19" t="s">
        <v>814</v>
      </c>
    </row>
    <row r="42" spans="1:12" ht="24" x14ac:dyDescent="0.25">
      <c r="A42" s="16" t="s">
        <v>247</v>
      </c>
      <c r="B42" s="17" t="s">
        <v>248</v>
      </c>
      <c r="C42" s="16" t="s">
        <v>822</v>
      </c>
      <c r="D42" s="17" t="s">
        <v>823</v>
      </c>
      <c r="E42" s="16" t="s">
        <v>114</v>
      </c>
      <c r="F42" s="16" t="s">
        <v>84</v>
      </c>
      <c r="G42" s="16" t="s">
        <v>495</v>
      </c>
      <c r="H42" s="16" t="s">
        <v>496</v>
      </c>
      <c r="I42" s="17" t="s">
        <v>831</v>
      </c>
      <c r="J42" s="17" t="s">
        <v>4006</v>
      </c>
      <c r="K42" s="17" t="s">
        <v>830</v>
      </c>
      <c r="L42" s="17" t="s">
        <v>825</v>
      </c>
    </row>
    <row r="43" spans="1:12" ht="24" x14ac:dyDescent="0.25">
      <c r="A43" s="18" t="s">
        <v>247</v>
      </c>
      <c r="B43" s="19" t="s">
        <v>248</v>
      </c>
      <c r="C43" s="18" t="s">
        <v>832</v>
      </c>
      <c r="D43" s="19" t="s">
        <v>833</v>
      </c>
      <c r="E43" s="18" t="s">
        <v>114</v>
      </c>
      <c r="F43" s="18" t="s">
        <v>79</v>
      </c>
      <c r="G43" s="18" t="s">
        <v>619</v>
      </c>
      <c r="H43" s="18" t="s">
        <v>496</v>
      </c>
      <c r="I43" s="19" t="s">
        <v>840</v>
      </c>
      <c r="J43" s="19" t="s">
        <v>4007</v>
      </c>
      <c r="K43" s="19" t="s">
        <v>839</v>
      </c>
      <c r="L43" s="19" t="s">
        <v>814</v>
      </c>
    </row>
    <row r="44" spans="1:12" ht="24" x14ac:dyDescent="0.25">
      <c r="A44" s="16" t="s">
        <v>247</v>
      </c>
      <c r="B44" s="17" t="s">
        <v>248</v>
      </c>
      <c r="C44" s="16" t="s">
        <v>841</v>
      </c>
      <c r="D44" s="17" t="s">
        <v>842</v>
      </c>
      <c r="E44" s="16" t="s">
        <v>114</v>
      </c>
      <c r="F44" s="16" t="s">
        <v>79</v>
      </c>
      <c r="G44" s="16" t="s">
        <v>619</v>
      </c>
      <c r="H44" s="16" t="s">
        <v>678</v>
      </c>
      <c r="I44" s="17" t="s">
        <v>849</v>
      </c>
      <c r="J44" s="17" t="s">
        <v>4008</v>
      </c>
      <c r="K44" s="17" t="s">
        <v>839</v>
      </c>
      <c r="L44" s="17" t="s">
        <v>844</v>
      </c>
    </row>
    <row r="45" spans="1:12" ht="24" x14ac:dyDescent="0.25">
      <c r="A45" s="18" t="s">
        <v>247</v>
      </c>
      <c r="B45" s="19" t="s">
        <v>248</v>
      </c>
      <c r="C45" s="18" t="s">
        <v>850</v>
      </c>
      <c r="D45" s="19" t="s">
        <v>852</v>
      </c>
      <c r="E45" s="18" t="s">
        <v>117</v>
      </c>
      <c r="F45" s="18" t="s">
        <v>79</v>
      </c>
      <c r="G45" s="18" t="s">
        <v>495</v>
      </c>
      <c r="H45" s="18" t="s">
        <v>496</v>
      </c>
      <c r="I45" s="19" t="s">
        <v>863</v>
      </c>
      <c r="J45" s="19" t="s">
        <v>4009</v>
      </c>
      <c r="K45" s="19" t="s">
        <v>862</v>
      </c>
      <c r="L45" s="19" t="s">
        <v>855</v>
      </c>
    </row>
    <row r="46" spans="1:12" ht="24" x14ac:dyDescent="0.25">
      <c r="A46" s="16" t="s">
        <v>247</v>
      </c>
      <c r="B46" s="17" t="s">
        <v>248</v>
      </c>
      <c r="C46" s="16" t="s">
        <v>864</v>
      </c>
      <c r="D46" s="17" t="s">
        <v>865</v>
      </c>
      <c r="E46" s="16" t="s">
        <v>117</v>
      </c>
      <c r="F46" s="16" t="s">
        <v>84</v>
      </c>
      <c r="G46" s="16" t="s">
        <v>495</v>
      </c>
      <c r="H46" s="16" t="s">
        <v>496</v>
      </c>
      <c r="I46" s="17" t="s">
        <v>873</v>
      </c>
      <c r="J46" s="17" t="s">
        <v>4010</v>
      </c>
      <c r="K46" s="17" t="s">
        <v>872</v>
      </c>
      <c r="L46" s="17" t="s">
        <v>867</v>
      </c>
    </row>
    <row r="47" spans="1:12" ht="24" x14ac:dyDescent="0.25">
      <c r="A47" s="18" t="s">
        <v>247</v>
      </c>
      <c r="B47" s="19" t="s">
        <v>248</v>
      </c>
      <c r="C47" s="18" t="s">
        <v>874</v>
      </c>
      <c r="D47" s="19" t="s">
        <v>875</v>
      </c>
      <c r="E47" s="18" t="s">
        <v>117</v>
      </c>
      <c r="F47" s="18" t="s">
        <v>84</v>
      </c>
      <c r="G47" s="18" t="s">
        <v>495</v>
      </c>
      <c r="H47" s="18" t="s">
        <v>496</v>
      </c>
      <c r="I47" s="19" t="s">
        <v>883</v>
      </c>
      <c r="J47" s="19" t="s">
        <v>4011</v>
      </c>
      <c r="K47" s="19" t="s">
        <v>882</v>
      </c>
      <c r="L47" s="19" t="s">
        <v>867</v>
      </c>
    </row>
    <row r="48" spans="1:12" ht="24" x14ac:dyDescent="0.25">
      <c r="A48" s="16" t="s">
        <v>247</v>
      </c>
      <c r="B48" s="17" t="s">
        <v>248</v>
      </c>
      <c r="C48" s="16" t="s">
        <v>884</v>
      </c>
      <c r="D48" s="17" t="s">
        <v>885</v>
      </c>
      <c r="E48" s="16" t="s">
        <v>117</v>
      </c>
      <c r="F48" s="16" t="s">
        <v>84</v>
      </c>
      <c r="G48" s="16" t="s">
        <v>619</v>
      </c>
      <c r="H48" s="16" t="s">
        <v>678</v>
      </c>
      <c r="I48" s="17" t="s">
        <v>894</v>
      </c>
      <c r="J48" s="17" t="s">
        <v>4012</v>
      </c>
      <c r="K48" s="17" t="s">
        <v>893</v>
      </c>
      <c r="L48" s="17" t="s">
        <v>887</v>
      </c>
    </row>
    <row r="49" spans="1:12" ht="24" x14ac:dyDescent="0.25">
      <c r="A49" s="18" t="s">
        <v>247</v>
      </c>
      <c r="B49" s="19" t="s">
        <v>248</v>
      </c>
      <c r="C49" s="18" t="s">
        <v>1973</v>
      </c>
      <c r="D49" s="19" t="s">
        <v>1974</v>
      </c>
      <c r="E49" s="18" t="s">
        <v>167</v>
      </c>
      <c r="F49" s="18" t="s">
        <v>90</v>
      </c>
      <c r="G49" s="18" t="s">
        <v>619</v>
      </c>
      <c r="H49" s="18" t="s">
        <v>496</v>
      </c>
      <c r="I49" s="19" t="s">
        <v>1983</v>
      </c>
      <c r="J49" s="19" t="s">
        <v>4013</v>
      </c>
      <c r="K49" s="19" t="s">
        <v>1982</v>
      </c>
      <c r="L49" s="19" t="s">
        <v>1976</v>
      </c>
    </row>
    <row r="50" spans="1:12" ht="24" x14ac:dyDescent="0.25">
      <c r="A50" s="16" t="s">
        <v>254</v>
      </c>
      <c r="B50" s="17" t="s">
        <v>255</v>
      </c>
      <c r="C50" s="16" t="s">
        <v>850</v>
      </c>
      <c r="D50" s="17" t="s">
        <v>852</v>
      </c>
      <c r="E50" s="16" t="s">
        <v>117</v>
      </c>
      <c r="F50" s="16" t="s">
        <v>79</v>
      </c>
      <c r="G50" s="16" t="s">
        <v>495</v>
      </c>
      <c r="H50" s="16" t="s">
        <v>496</v>
      </c>
      <c r="I50" s="17" t="s">
        <v>863</v>
      </c>
      <c r="J50" s="17" t="s">
        <v>4009</v>
      </c>
      <c r="K50" s="17" t="s">
        <v>862</v>
      </c>
      <c r="L50" s="17" t="s">
        <v>855</v>
      </c>
    </row>
    <row r="51" spans="1:12" ht="24" x14ac:dyDescent="0.25">
      <c r="A51" s="18" t="s">
        <v>254</v>
      </c>
      <c r="B51" s="19" t="s">
        <v>255</v>
      </c>
      <c r="C51" s="18" t="s">
        <v>864</v>
      </c>
      <c r="D51" s="19" t="s">
        <v>865</v>
      </c>
      <c r="E51" s="18" t="s">
        <v>117</v>
      </c>
      <c r="F51" s="18" t="s">
        <v>84</v>
      </c>
      <c r="G51" s="18" t="s">
        <v>495</v>
      </c>
      <c r="H51" s="18" t="s">
        <v>496</v>
      </c>
      <c r="I51" s="19" t="s">
        <v>873</v>
      </c>
      <c r="J51" s="19" t="s">
        <v>4010</v>
      </c>
      <c r="K51" s="19" t="s">
        <v>872</v>
      </c>
      <c r="L51" s="19" t="s">
        <v>867</v>
      </c>
    </row>
    <row r="52" spans="1:12" ht="24" x14ac:dyDescent="0.25">
      <c r="A52" s="16" t="s">
        <v>254</v>
      </c>
      <c r="B52" s="17" t="s">
        <v>255</v>
      </c>
      <c r="C52" s="16" t="s">
        <v>975</v>
      </c>
      <c r="D52" s="17" t="s">
        <v>976</v>
      </c>
      <c r="E52" s="16" t="s">
        <v>124</v>
      </c>
      <c r="F52" s="16" t="s">
        <v>84</v>
      </c>
      <c r="G52" s="16" t="s">
        <v>495</v>
      </c>
      <c r="H52" s="16" t="s">
        <v>496</v>
      </c>
      <c r="I52" s="17" t="s">
        <v>985</v>
      </c>
      <c r="J52" s="17" t="s">
        <v>4014</v>
      </c>
      <c r="K52" s="17" t="s">
        <v>973</v>
      </c>
      <c r="L52" s="17" t="s">
        <v>967</v>
      </c>
    </row>
    <row r="53" spans="1:12" ht="24" x14ac:dyDescent="0.25">
      <c r="A53" s="18" t="s">
        <v>254</v>
      </c>
      <c r="B53" s="19" t="s">
        <v>255</v>
      </c>
      <c r="C53" s="18" t="s">
        <v>1039</v>
      </c>
      <c r="D53" s="19" t="s">
        <v>1041</v>
      </c>
      <c r="E53" s="18" t="s">
        <v>127</v>
      </c>
      <c r="F53" s="18" t="s">
        <v>79</v>
      </c>
      <c r="G53" s="18" t="s">
        <v>495</v>
      </c>
      <c r="H53" s="18" t="s">
        <v>496</v>
      </c>
      <c r="I53" s="19" t="s">
        <v>1051</v>
      </c>
      <c r="J53" s="19" t="s">
        <v>3979</v>
      </c>
      <c r="K53" s="19" t="s">
        <v>1050</v>
      </c>
      <c r="L53" s="19" t="s">
        <v>1043</v>
      </c>
    </row>
    <row r="54" spans="1:12" ht="24" x14ac:dyDescent="0.25">
      <c r="A54" s="16" t="s">
        <v>254</v>
      </c>
      <c r="B54" s="17" t="s">
        <v>255</v>
      </c>
      <c r="C54" s="16" t="s">
        <v>1052</v>
      </c>
      <c r="D54" s="17" t="s">
        <v>1053</v>
      </c>
      <c r="E54" s="16" t="s">
        <v>127</v>
      </c>
      <c r="F54" s="16" t="s">
        <v>84</v>
      </c>
      <c r="G54" s="16" t="s">
        <v>495</v>
      </c>
      <c r="H54" s="16" t="s">
        <v>496</v>
      </c>
      <c r="I54" s="17" t="s">
        <v>1062</v>
      </c>
      <c r="J54" s="17" t="s">
        <v>4015</v>
      </c>
      <c r="K54" s="17" t="s">
        <v>1061</v>
      </c>
      <c r="L54" s="17" t="s">
        <v>1055</v>
      </c>
    </row>
    <row r="55" spans="1:12" ht="24" x14ac:dyDescent="0.25">
      <c r="A55" s="18" t="s">
        <v>254</v>
      </c>
      <c r="B55" s="19" t="s">
        <v>255</v>
      </c>
      <c r="C55" s="18" t="s">
        <v>1063</v>
      </c>
      <c r="D55" s="19" t="s">
        <v>1064</v>
      </c>
      <c r="E55" s="18" t="s">
        <v>127</v>
      </c>
      <c r="F55" s="18" t="s">
        <v>84</v>
      </c>
      <c r="G55" s="18" t="s">
        <v>495</v>
      </c>
      <c r="H55" s="18" t="s">
        <v>496</v>
      </c>
      <c r="I55" s="19" t="s">
        <v>1072</v>
      </c>
      <c r="J55" s="19" t="s">
        <v>4016</v>
      </c>
      <c r="K55" s="19" t="s">
        <v>1071</v>
      </c>
      <c r="L55" s="19" t="s">
        <v>1055</v>
      </c>
    </row>
    <row r="56" spans="1:12" ht="24" x14ac:dyDescent="0.25">
      <c r="A56" s="16" t="s">
        <v>254</v>
      </c>
      <c r="B56" s="17" t="s">
        <v>255</v>
      </c>
      <c r="C56" s="16" t="s">
        <v>1073</v>
      </c>
      <c r="D56" s="17" t="s">
        <v>1074</v>
      </c>
      <c r="E56" s="16" t="s">
        <v>127</v>
      </c>
      <c r="F56" s="16" t="s">
        <v>84</v>
      </c>
      <c r="G56" s="16" t="s">
        <v>495</v>
      </c>
      <c r="H56" s="16" t="s">
        <v>496</v>
      </c>
      <c r="I56" s="17" t="s">
        <v>1085</v>
      </c>
      <c r="J56" s="17" t="s">
        <v>4017</v>
      </c>
      <c r="K56" s="17" t="s">
        <v>1084</v>
      </c>
      <c r="L56" s="17" t="s">
        <v>1077</v>
      </c>
    </row>
    <row r="57" spans="1:12" ht="24" x14ac:dyDescent="0.25">
      <c r="A57" s="18" t="s">
        <v>254</v>
      </c>
      <c r="B57" s="19" t="s">
        <v>255</v>
      </c>
      <c r="C57" s="18" t="s">
        <v>1086</v>
      </c>
      <c r="D57" s="19" t="s">
        <v>1087</v>
      </c>
      <c r="E57" s="18" t="s">
        <v>127</v>
      </c>
      <c r="F57" s="18" t="s">
        <v>84</v>
      </c>
      <c r="G57" s="18" t="s">
        <v>619</v>
      </c>
      <c r="H57" s="18" t="s">
        <v>678</v>
      </c>
      <c r="I57" s="19" t="s">
        <v>1096</v>
      </c>
      <c r="J57" s="19" t="s">
        <v>4018</v>
      </c>
      <c r="K57" s="19" t="s">
        <v>1095</v>
      </c>
      <c r="L57" s="19" t="s">
        <v>1089</v>
      </c>
    </row>
    <row r="58" spans="1:12" ht="24" x14ac:dyDescent="0.25">
      <c r="A58" s="16" t="s">
        <v>254</v>
      </c>
      <c r="B58" s="17" t="s">
        <v>255</v>
      </c>
      <c r="C58" s="16" t="s">
        <v>1097</v>
      </c>
      <c r="D58" s="17" t="s">
        <v>1098</v>
      </c>
      <c r="E58" s="16" t="s">
        <v>127</v>
      </c>
      <c r="F58" s="16" t="s">
        <v>84</v>
      </c>
      <c r="G58" s="16" t="s">
        <v>495</v>
      </c>
      <c r="H58" s="16" t="s">
        <v>496</v>
      </c>
      <c r="I58" s="17" t="s">
        <v>1106</v>
      </c>
      <c r="J58" s="17" t="s">
        <v>4019</v>
      </c>
      <c r="K58" s="17" t="s">
        <v>1105</v>
      </c>
      <c r="L58" s="17" t="s">
        <v>558</v>
      </c>
    </row>
    <row r="59" spans="1:12" ht="24" x14ac:dyDescent="0.25">
      <c r="A59" s="18" t="s">
        <v>254</v>
      </c>
      <c r="B59" s="19" t="s">
        <v>255</v>
      </c>
      <c r="C59" s="18" t="s">
        <v>1107</v>
      </c>
      <c r="D59" s="19" t="s">
        <v>1108</v>
      </c>
      <c r="E59" s="18" t="s">
        <v>127</v>
      </c>
      <c r="F59" s="18" t="s">
        <v>79</v>
      </c>
      <c r="G59" s="18" t="s">
        <v>495</v>
      </c>
      <c r="H59" s="18" t="s">
        <v>496</v>
      </c>
      <c r="I59" s="19" t="s">
        <v>1117</v>
      </c>
      <c r="J59" s="19" t="s">
        <v>4020</v>
      </c>
      <c r="K59" s="19" t="s">
        <v>1116</v>
      </c>
      <c r="L59" s="19" t="s">
        <v>1110</v>
      </c>
    </row>
    <row r="60" spans="1:12" ht="24" x14ac:dyDescent="0.25">
      <c r="A60" s="16" t="s">
        <v>254</v>
      </c>
      <c r="B60" s="17" t="s">
        <v>255</v>
      </c>
      <c r="C60" s="16" t="s">
        <v>1118</v>
      </c>
      <c r="D60" s="17" t="s">
        <v>1119</v>
      </c>
      <c r="E60" s="16" t="s">
        <v>127</v>
      </c>
      <c r="F60" s="16" t="s">
        <v>84</v>
      </c>
      <c r="G60" s="16" t="s">
        <v>495</v>
      </c>
      <c r="H60" s="16" t="s">
        <v>496</v>
      </c>
      <c r="I60" s="17" t="s">
        <v>1126</v>
      </c>
      <c r="J60" s="17" t="s">
        <v>4021</v>
      </c>
      <c r="K60" s="17" t="s">
        <v>1125</v>
      </c>
      <c r="L60" s="17" t="s">
        <v>558</v>
      </c>
    </row>
    <row r="61" spans="1:12" ht="24" x14ac:dyDescent="0.25">
      <c r="A61" s="18" t="s">
        <v>254</v>
      </c>
      <c r="B61" s="19" t="s">
        <v>255</v>
      </c>
      <c r="C61" s="18" t="s">
        <v>1127</v>
      </c>
      <c r="D61" s="19" t="s">
        <v>1128</v>
      </c>
      <c r="E61" s="18" t="s">
        <v>127</v>
      </c>
      <c r="F61" s="18" t="s">
        <v>84</v>
      </c>
      <c r="G61" s="18" t="s">
        <v>495</v>
      </c>
      <c r="H61" s="18" t="s">
        <v>496</v>
      </c>
      <c r="I61" s="19" t="s">
        <v>1136</v>
      </c>
      <c r="J61" s="19" t="s">
        <v>4022</v>
      </c>
      <c r="K61" s="19" t="s">
        <v>1135</v>
      </c>
      <c r="L61" s="19" t="s">
        <v>558</v>
      </c>
    </row>
    <row r="62" spans="1:12" ht="24" x14ac:dyDescent="0.25">
      <c r="A62" s="16" t="s">
        <v>254</v>
      </c>
      <c r="B62" s="17" t="s">
        <v>255</v>
      </c>
      <c r="C62" s="16" t="s">
        <v>1137</v>
      </c>
      <c r="D62" s="17" t="s">
        <v>1138</v>
      </c>
      <c r="E62" s="16" t="s">
        <v>127</v>
      </c>
      <c r="F62" s="16" t="s">
        <v>84</v>
      </c>
      <c r="G62" s="16" t="s">
        <v>495</v>
      </c>
      <c r="H62" s="16" t="s">
        <v>496</v>
      </c>
      <c r="I62" s="17" t="s">
        <v>1072</v>
      </c>
      <c r="J62" s="17" t="s">
        <v>4023</v>
      </c>
      <c r="K62" s="17" t="s">
        <v>1145</v>
      </c>
      <c r="L62" s="17" t="s">
        <v>1140</v>
      </c>
    </row>
    <row r="63" spans="1:12" ht="24" x14ac:dyDescent="0.25">
      <c r="A63" s="18" t="s">
        <v>254</v>
      </c>
      <c r="B63" s="19" t="s">
        <v>255</v>
      </c>
      <c r="C63" s="18" t="s">
        <v>1146</v>
      </c>
      <c r="D63" s="19" t="s">
        <v>1147</v>
      </c>
      <c r="E63" s="18" t="s">
        <v>127</v>
      </c>
      <c r="F63" s="18" t="s">
        <v>84</v>
      </c>
      <c r="G63" s="18" t="s">
        <v>619</v>
      </c>
      <c r="H63" s="18" t="s">
        <v>496</v>
      </c>
      <c r="I63" s="19" t="s">
        <v>1158</v>
      </c>
      <c r="J63" s="19" t="s">
        <v>4024</v>
      </c>
      <c r="K63" s="19" t="s">
        <v>1157</v>
      </c>
      <c r="L63" s="19" t="s">
        <v>1150</v>
      </c>
    </row>
    <row r="64" spans="1:12" ht="24" x14ac:dyDescent="0.25">
      <c r="A64" s="16" t="s">
        <v>254</v>
      </c>
      <c r="B64" s="17" t="s">
        <v>255</v>
      </c>
      <c r="C64" s="16" t="s">
        <v>1159</v>
      </c>
      <c r="D64" s="17" t="s">
        <v>1160</v>
      </c>
      <c r="E64" s="16" t="s">
        <v>127</v>
      </c>
      <c r="F64" s="16" t="s">
        <v>79</v>
      </c>
      <c r="G64" s="16" t="s">
        <v>495</v>
      </c>
      <c r="H64" s="16" t="s">
        <v>496</v>
      </c>
      <c r="I64" s="17" t="s">
        <v>1169</v>
      </c>
      <c r="J64" s="17" t="s">
        <v>4025</v>
      </c>
      <c r="K64" s="17" t="s">
        <v>1168</v>
      </c>
      <c r="L64" s="17" t="s">
        <v>1162</v>
      </c>
    </row>
    <row r="65" spans="1:12" ht="24" x14ac:dyDescent="0.25">
      <c r="A65" s="18" t="s">
        <v>254</v>
      </c>
      <c r="B65" s="19" t="s">
        <v>255</v>
      </c>
      <c r="C65" s="18" t="s">
        <v>1170</v>
      </c>
      <c r="D65" s="19" t="s">
        <v>1171</v>
      </c>
      <c r="E65" s="18" t="s">
        <v>127</v>
      </c>
      <c r="F65" s="18" t="s">
        <v>79</v>
      </c>
      <c r="G65" s="18" t="s">
        <v>713</v>
      </c>
      <c r="H65" s="18" t="s">
        <v>1178</v>
      </c>
      <c r="I65" s="19" t="s">
        <v>1180</v>
      </c>
      <c r="J65" s="19" t="s">
        <v>4026</v>
      </c>
      <c r="K65" s="19" t="s">
        <v>1179</v>
      </c>
      <c r="L65" s="19" t="s">
        <v>1173</v>
      </c>
    </row>
    <row r="66" spans="1:12" ht="24" x14ac:dyDescent="0.25">
      <c r="A66" s="16" t="s">
        <v>254</v>
      </c>
      <c r="B66" s="17" t="s">
        <v>255</v>
      </c>
      <c r="C66" s="16" t="s">
        <v>1378</v>
      </c>
      <c r="D66" s="17" t="s">
        <v>1379</v>
      </c>
      <c r="E66" s="16" t="s">
        <v>136</v>
      </c>
      <c r="F66" s="16" t="s">
        <v>73</v>
      </c>
      <c r="G66" s="16" t="s">
        <v>619</v>
      </c>
      <c r="H66" s="16" t="s">
        <v>678</v>
      </c>
      <c r="I66" s="17" t="s">
        <v>1388</v>
      </c>
      <c r="J66" s="17" t="s">
        <v>4027</v>
      </c>
      <c r="K66" s="17" t="s">
        <v>1365</v>
      </c>
      <c r="L66" s="17" t="s">
        <v>1381</v>
      </c>
    </row>
    <row r="67" spans="1:12" ht="24" x14ac:dyDescent="0.25">
      <c r="A67" s="18" t="s">
        <v>254</v>
      </c>
      <c r="B67" s="19" t="s">
        <v>255</v>
      </c>
      <c r="C67" s="18" t="s">
        <v>1874</v>
      </c>
      <c r="D67" s="19" t="s">
        <v>1875</v>
      </c>
      <c r="E67" s="18" t="s">
        <v>160</v>
      </c>
      <c r="F67" s="18" t="s">
        <v>95</v>
      </c>
      <c r="G67" s="18" t="s">
        <v>619</v>
      </c>
      <c r="H67" s="18" t="s">
        <v>678</v>
      </c>
      <c r="I67" s="19" t="s">
        <v>1884</v>
      </c>
      <c r="J67" s="19" t="s">
        <v>4028</v>
      </c>
      <c r="K67" s="19" t="s">
        <v>1883</v>
      </c>
      <c r="L67" s="19" t="s">
        <v>1877</v>
      </c>
    </row>
    <row r="68" spans="1:12" ht="24" x14ac:dyDescent="0.25">
      <c r="A68" s="16" t="s">
        <v>254</v>
      </c>
      <c r="B68" s="17" t="s">
        <v>255</v>
      </c>
      <c r="C68" s="16" t="s">
        <v>1951</v>
      </c>
      <c r="D68" s="17" t="s">
        <v>1952</v>
      </c>
      <c r="E68" s="16" t="s">
        <v>167</v>
      </c>
      <c r="F68" s="16" t="s">
        <v>90</v>
      </c>
      <c r="G68" s="16" t="s">
        <v>495</v>
      </c>
      <c r="H68" s="16" t="s">
        <v>496</v>
      </c>
      <c r="I68" s="17" t="s">
        <v>1961</v>
      </c>
      <c r="J68" s="17" t="s">
        <v>4029</v>
      </c>
      <c r="K68" s="17" t="s">
        <v>1960</v>
      </c>
      <c r="L68" s="17" t="s">
        <v>1954</v>
      </c>
    </row>
    <row r="69" spans="1:12" x14ac:dyDescent="0.25">
      <c r="A69" s="18" t="s">
        <v>261</v>
      </c>
      <c r="B69" s="19" t="s">
        <v>262</v>
      </c>
      <c r="C69" s="18" t="s">
        <v>533</v>
      </c>
      <c r="D69" s="19" t="s">
        <v>534</v>
      </c>
      <c r="E69" s="18" t="s">
        <v>103</v>
      </c>
      <c r="F69" s="18" t="s">
        <v>73</v>
      </c>
      <c r="G69" s="18" t="s">
        <v>495</v>
      </c>
      <c r="H69" s="18" t="s">
        <v>496</v>
      </c>
      <c r="I69" s="19" t="s">
        <v>543</v>
      </c>
      <c r="J69" s="19" t="s">
        <v>3974</v>
      </c>
      <c r="K69" s="19" t="s">
        <v>542</v>
      </c>
      <c r="L69" s="19" t="s">
        <v>536</v>
      </c>
    </row>
    <row r="70" spans="1:12" x14ac:dyDescent="0.25">
      <c r="A70" s="16" t="s">
        <v>261</v>
      </c>
      <c r="B70" s="17" t="s">
        <v>262</v>
      </c>
      <c r="C70" s="16" t="s">
        <v>544</v>
      </c>
      <c r="D70" s="17" t="s">
        <v>545</v>
      </c>
      <c r="E70" s="16" t="s">
        <v>103</v>
      </c>
      <c r="F70" s="16" t="s">
        <v>73</v>
      </c>
      <c r="G70" s="16" t="s">
        <v>495</v>
      </c>
      <c r="H70" s="16" t="s">
        <v>496</v>
      </c>
      <c r="I70" s="17" t="s">
        <v>554</v>
      </c>
      <c r="J70" s="17" t="s">
        <v>3975</v>
      </c>
      <c r="K70" s="17" t="s">
        <v>553</v>
      </c>
      <c r="L70" s="17" t="s">
        <v>547</v>
      </c>
    </row>
    <row r="71" spans="1:12" ht="24" x14ac:dyDescent="0.25">
      <c r="A71" s="18" t="s">
        <v>261</v>
      </c>
      <c r="B71" s="19" t="s">
        <v>262</v>
      </c>
      <c r="C71" s="18" t="s">
        <v>555</v>
      </c>
      <c r="D71" s="19" t="s">
        <v>556</v>
      </c>
      <c r="E71" s="18" t="s">
        <v>103</v>
      </c>
      <c r="F71" s="18" t="s">
        <v>84</v>
      </c>
      <c r="G71" s="18" t="s">
        <v>495</v>
      </c>
      <c r="H71" s="18" t="s">
        <v>496</v>
      </c>
      <c r="I71" s="19" t="s">
        <v>565</v>
      </c>
      <c r="J71" s="19" t="s">
        <v>3976</v>
      </c>
      <c r="K71" s="19" t="s">
        <v>564</v>
      </c>
      <c r="L71" s="19" t="s">
        <v>558</v>
      </c>
    </row>
    <row r="72" spans="1:12" ht="24" x14ac:dyDescent="0.25">
      <c r="A72" s="16" t="s">
        <v>261</v>
      </c>
      <c r="B72" s="17" t="s">
        <v>262</v>
      </c>
      <c r="C72" s="16" t="s">
        <v>1073</v>
      </c>
      <c r="D72" s="17" t="s">
        <v>1074</v>
      </c>
      <c r="E72" s="16" t="s">
        <v>127</v>
      </c>
      <c r="F72" s="16" t="s">
        <v>84</v>
      </c>
      <c r="G72" s="16" t="s">
        <v>495</v>
      </c>
      <c r="H72" s="16" t="s">
        <v>496</v>
      </c>
      <c r="I72" s="17" t="s">
        <v>1085</v>
      </c>
      <c r="J72" s="17" t="s">
        <v>4017</v>
      </c>
      <c r="K72" s="17" t="s">
        <v>1084</v>
      </c>
      <c r="L72" s="17" t="s">
        <v>1077</v>
      </c>
    </row>
    <row r="73" spans="1:12" x14ac:dyDescent="0.25">
      <c r="A73" s="18" t="s">
        <v>261</v>
      </c>
      <c r="B73" s="19" t="s">
        <v>262</v>
      </c>
      <c r="C73" s="18" t="s">
        <v>1181</v>
      </c>
      <c r="D73" s="19" t="s">
        <v>1183</v>
      </c>
      <c r="E73" s="18" t="s">
        <v>130</v>
      </c>
      <c r="F73" s="18" t="s">
        <v>79</v>
      </c>
      <c r="G73" s="18" t="s">
        <v>495</v>
      </c>
      <c r="H73" s="18" t="s">
        <v>496</v>
      </c>
      <c r="I73" s="19" t="s">
        <v>1193</v>
      </c>
      <c r="J73" s="19" t="s">
        <v>4030</v>
      </c>
      <c r="K73" s="19" t="s">
        <v>1192</v>
      </c>
      <c r="L73" s="19" t="s">
        <v>1186</v>
      </c>
    </row>
    <row r="74" spans="1:12" ht="24" x14ac:dyDescent="0.25">
      <c r="A74" s="16" t="s">
        <v>261</v>
      </c>
      <c r="B74" s="17" t="s">
        <v>262</v>
      </c>
      <c r="C74" s="16" t="s">
        <v>1194</v>
      </c>
      <c r="D74" s="17" t="s">
        <v>1195</v>
      </c>
      <c r="E74" s="16" t="s">
        <v>130</v>
      </c>
      <c r="F74" s="16" t="s">
        <v>84</v>
      </c>
      <c r="G74" s="16" t="s">
        <v>495</v>
      </c>
      <c r="H74" s="16" t="s">
        <v>496</v>
      </c>
      <c r="I74" s="17" t="s">
        <v>1203</v>
      </c>
      <c r="J74" s="17" t="s">
        <v>4031</v>
      </c>
      <c r="K74" s="17" t="s">
        <v>1202</v>
      </c>
      <c r="L74" s="17" t="s">
        <v>1197</v>
      </c>
    </row>
    <row r="75" spans="1:12" x14ac:dyDescent="0.25">
      <c r="A75" s="18" t="s">
        <v>261</v>
      </c>
      <c r="B75" s="19" t="s">
        <v>262</v>
      </c>
      <c r="C75" s="18" t="s">
        <v>1204</v>
      </c>
      <c r="D75" s="19" t="s">
        <v>1205</v>
      </c>
      <c r="E75" s="18" t="s">
        <v>130</v>
      </c>
      <c r="F75" s="18" t="s">
        <v>84</v>
      </c>
      <c r="G75" s="18" t="s">
        <v>495</v>
      </c>
      <c r="H75" s="18" t="s">
        <v>496</v>
      </c>
      <c r="I75" s="19" t="s">
        <v>1211</v>
      </c>
      <c r="J75" s="19" t="s">
        <v>4032</v>
      </c>
      <c r="K75" s="19" t="s">
        <v>1202</v>
      </c>
      <c r="L75" s="19" t="s">
        <v>1197</v>
      </c>
    </row>
    <row r="76" spans="1:12" x14ac:dyDescent="0.25">
      <c r="A76" s="16" t="s">
        <v>261</v>
      </c>
      <c r="B76" s="17" t="s">
        <v>262</v>
      </c>
      <c r="C76" s="16" t="s">
        <v>1212</v>
      </c>
      <c r="D76" s="17" t="s">
        <v>1213</v>
      </c>
      <c r="E76" s="16" t="s">
        <v>130</v>
      </c>
      <c r="F76" s="16" t="s">
        <v>84</v>
      </c>
      <c r="G76" s="16" t="s">
        <v>619</v>
      </c>
      <c r="H76" s="16" t="s">
        <v>496</v>
      </c>
      <c r="I76" s="17" t="s">
        <v>1223</v>
      </c>
      <c r="J76" s="17" t="s">
        <v>4033</v>
      </c>
      <c r="K76" s="17" t="s">
        <v>1222</v>
      </c>
      <c r="L76" s="17" t="s">
        <v>1215</v>
      </c>
    </row>
    <row r="77" spans="1:12" x14ac:dyDescent="0.25">
      <c r="A77" s="18" t="s">
        <v>261</v>
      </c>
      <c r="B77" s="19" t="s">
        <v>262</v>
      </c>
      <c r="C77" s="18" t="s">
        <v>1224</v>
      </c>
      <c r="D77" s="19" t="s">
        <v>1225</v>
      </c>
      <c r="E77" s="18" t="s">
        <v>130</v>
      </c>
      <c r="F77" s="18" t="s">
        <v>84</v>
      </c>
      <c r="G77" s="18" t="s">
        <v>495</v>
      </c>
      <c r="H77" s="18" t="s">
        <v>496</v>
      </c>
      <c r="I77" s="19" t="s">
        <v>1233</v>
      </c>
      <c r="J77" s="19" t="s">
        <v>4034</v>
      </c>
      <c r="K77" s="19" t="s">
        <v>1232</v>
      </c>
      <c r="L77" s="19" t="s">
        <v>1227</v>
      </c>
    </row>
    <row r="78" spans="1:12" ht="24" x14ac:dyDescent="0.25">
      <c r="A78" s="16" t="s">
        <v>261</v>
      </c>
      <c r="B78" s="17" t="s">
        <v>262</v>
      </c>
      <c r="C78" s="16" t="s">
        <v>1234</v>
      </c>
      <c r="D78" s="17" t="s">
        <v>1235</v>
      </c>
      <c r="E78" s="16" t="s">
        <v>130</v>
      </c>
      <c r="F78" s="16" t="s">
        <v>79</v>
      </c>
      <c r="G78" s="16" t="s">
        <v>495</v>
      </c>
      <c r="H78" s="16" t="s">
        <v>496</v>
      </c>
      <c r="I78" s="17" t="s">
        <v>1245</v>
      </c>
      <c r="J78" s="17" t="s">
        <v>4035</v>
      </c>
      <c r="K78" s="17" t="s">
        <v>1244</v>
      </c>
      <c r="L78" s="17" t="s">
        <v>1238</v>
      </c>
    </row>
    <row r="79" spans="1:12" x14ac:dyDescent="0.25">
      <c r="A79" s="18" t="s">
        <v>261</v>
      </c>
      <c r="B79" s="19" t="s">
        <v>262</v>
      </c>
      <c r="C79" s="18" t="s">
        <v>1246</v>
      </c>
      <c r="D79" s="19" t="s">
        <v>1247</v>
      </c>
      <c r="E79" s="18" t="s">
        <v>130</v>
      </c>
      <c r="F79" s="18" t="s">
        <v>84</v>
      </c>
      <c r="G79" s="18" t="s">
        <v>619</v>
      </c>
      <c r="H79" s="18" t="s">
        <v>678</v>
      </c>
      <c r="I79" s="19" t="s">
        <v>1257</v>
      </c>
      <c r="J79" s="19" t="s">
        <v>4036</v>
      </c>
      <c r="K79" s="19" t="s">
        <v>1256</v>
      </c>
      <c r="L79" s="19" t="s">
        <v>1250</v>
      </c>
    </row>
    <row r="80" spans="1:12" x14ac:dyDescent="0.25">
      <c r="A80" s="16" t="s">
        <v>261</v>
      </c>
      <c r="B80" s="17" t="s">
        <v>262</v>
      </c>
      <c r="C80" s="16" t="s">
        <v>1258</v>
      </c>
      <c r="D80" s="17" t="s">
        <v>1259</v>
      </c>
      <c r="E80" s="16" t="s">
        <v>130</v>
      </c>
      <c r="F80" s="16" t="s">
        <v>79</v>
      </c>
      <c r="G80" s="16" t="s">
        <v>495</v>
      </c>
      <c r="H80" s="16" t="s">
        <v>678</v>
      </c>
      <c r="I80" s="17" t="s">
        <v>1269</v>
      </c>
      <c r="J80" s="17" t="s">
        <v>4037</v>
      </c>
      <c r="K80" s="17" t="s">
        <v>1268</v>
      </c>
      <c r="L80" s="17" t="s">
        <v>1262</v>
      </c>
    </row>
    <row r="81" spans="1:12" x14ac:dyDescent="0.25">
      <c r="A81" s="18" t="s">
        <v>261</v>
      </c>
      <c r="B81" s="19" t="s">
        <v>262</v>
      </c>
      <c r="C81" s="18" t="s">
        <v>1270</v>
      </c>
      <c r="D81" s="19" t="s">
        <v>1271</v>
      </c>
      <c r="E81" s="18" t="s">
        <v>130</v>
      </c>
      <c r="F81" s="18" t="s">
        <v>73</v>
      </c>
      <c r="G81" s="18" t="s">
        <v>495</v>
      </c>
      <c r="H81" s="18" t="s">
        <v>678</v>
      </c>
      <c r="I81" s="19" t="s">
        <v>1281</v>
      </c>
      <c r="J81" s="19" t="s">
        <v>3980</v>
      </c>
      <c r="K81" s="19" t="s">
        <v>1280</v>
      </c>
      <c r="L81" s="19" t="s">
        <v>1274</v>
      </c>
    </row>
    <row r="82" spans="1:12" ht="24" x14ac:dyDescent="0.25">
      <c r="A82" s="16" t="s">
        <v>268</v>
      </c>
      <c r="B82" s="17" t="s">
        <v>269</v>
      </c>
      <c r="C82" s="16" t="s">
        <v>1146</v>
      </c>
      <c r="D82" s="17" t="s">
        <v>1147</v>
      </c>
      <c r="E82" s="16" t="s">
        <v>127</v>
      </c>
      <c r="F82" s="16" t="s">
        <v>84</v>
      </c>
      <c r="G82" s="16" t="s">
        <v>619</v>
      </c>
      <c r="H82" s="16" t="s">
        <v>496</v>
      </c>
      <c r="I82" s="17" t="s">
        <v>1158</v>
      </c>
      <c r="J82" s="17" t="s">
        <v>4024</v>
      </c>
      <c r="K82" s="17" t="s">
        <v>1157</v>
      </c>
      <c r="L82" s="17" t="s">
        <v>1150</v>
      </c>
    </row>
    <row r="83" spans="1:12" x14ac:dyDescent="0.25">
      <c r="A83" s="18" t="s">
        <v>268</v>
      </c>
      <c r="B83" s="19" t="s">
        <v>269</v>
      </c>
      <c r="C83" s="18" t="s">
        <v>1212</v>
      </c>
      <c r="D83" s="19" t="s">
        <v>1213</v>
      </c>
      <c r="E83" s="18" t="s">
        <v>130</v>
      </c>
      <c r="F83" s="18" t="s">
        <v>84</v>
      </c>
      <c r="G83" s="18" t="s">
        <v>619</v>
      </c>
      <c r="H83" s="18" t="s">
        <v>496</v>
      </c>
      <c r="I83" s="19" t="s">
        <v>1223</v>
      </c>
      <c r="J83" s="19" t="s">
        <v>4033</v>
      </c>
      <c r="K83" s="19" t="s">
        <v>1222</v>
      </c>
      <c r="L83" s="19" t="s">
        <v>1215</v>
      </c>
    </row>
    <row r="84" spans="1:12" x14ac:dyDescent="0.25">
      <c r="A84" s="16" t="s">
        <v>268</v>
      </c>
      <c r="B84" s="17" t="s">
        <v>269</v>
      </c>
      <c r="C84" s="16" t="s">
        <v>1282</v>
      </c>
      <c r="D84" s="17" t="s">
        <v>1284</v>
      </c>
      <c r="E84" s="16" t="s">
        <v>133</v>
      </c>
      <c r="F84" s="16" t="s">
        <v>79</v>
      </c>
      <c r="G84" s="16" t="s">
        <v>495</v>
      </c>
      <c r="H84" s="16" t="s">
        <v>496</v>
      </c>
      <c r="I84" s="17" t="s">
        <v>840</v>
      </c>
      <c r="J84" s="17" t="s">
        <v>4038</v>
      </c>
      <c r="K84" s="17" t="s">
        <v>1291</v>
      </c>
      <c r="L84" s="17" t="s">
        <v>1286</v>
      </c>
    </row>
    <row r="85" spans="1:12" x14ac:dyDescent="0.25">
      <c r="A85" s="18" t="s">
        <v>268</v>
      </c>
      <c r="B85" s="19" t="s">
        <v>269</v>
      </c>
      <c r="C85" s="18" t="s">
        <v>1292</v>
      </c>
      <c r="D85" s="19" t="s">
        <v>1293</v>
      </c>
      <c r="E85" s="18" t="s">
        <v>133</v>
      </c>
      <c r="F85" s="18" t="s">
        <v>84</v>
      </c>
      <c r="G85" s="18" t="s">
        <v>495</v>
      </c>
      <c r="H85" s="18" t="s">
        <v>496</v>
      </c>
      <c r="I85" s="19" t="s">
        <v>1301</v>
      </c>
      <c r="J85" s="19" t="s">
        <v>4039</v>
      </c>
      <c r="K85" s="19" t="s">
        <v>1300</v>
      </c>
      <c r="L85" s="19" t="s">
        <v>1295</v>
      </c>
    </row>
    <row r="86" spans="1:12" x14ac:dyDescent="0.25">
      <c r="A86" s="16" t="s">
        <v>268</v>
      </c>
      <c r="B86" s="17" t="s">
        <v>269</v>
      </c>
      <c r="C86" s="16" t="s">
        <v>1302</v>
      </c>
      <c r="D86" s="17" t="s">
        <v>1303</v>
      </c>
      <c r="E86" s="16" t="s">
        <v>133</v>
      </c>
      <c r="F86" s="16" t="s">
        <v>84</v>
      </c>
      <c r="G86" s="16" t="s">
        <v>495</v>
      </c>
      <c r="H86" s="16" t="s">
        <v>496</v>
      </c>
      <c r="I86" s="17" t="s">
        <v>1311</v>
      </c>
      <c r="J86" s="17" t="s">
        <v>4040</v>
      </c>
      <c r="K86" s="17" t="s">
        <v>1291</v>
      </c>
      <c r="L86" s="17" t="s">
        <v>1306</v>
      </c>
    </row>
    <row r="87" spans="1:12" ht="24" x14ac:dyDescent="0.25">
      <c r="A87" s="18" t="s">
        <v>268</v>
      </c>
      <c r="B87" s="19" t="s">
        <v>269</v>
      </c>
      <c r="C87" s="18" t="s">
        <v>1312</v>
      </c>
      <c r="D87" s="19" t="s">
        <v>1313</v>
      </c>
      <c r="E87" s="18" t="s">
        <v>133</v>
      </c>
      <c r="F87" s="18" t="s">
        <v>95</v>
      </c>
      <c r="G87" s="18" t="s">
        <v>495</v>
      </c>
      <c r="H87" s="18" t="s">
        <v>496</v>
      </c>
      <c r="I87" s="19" t="s">
        <v>1038</v>
      </c>
      <c r="J87" s="19" t="s">
        <v>4041</v>
      </c>
      <c r="K87" s="19" t="s">
        <v>1322</v>
      </c>
      <c r="L87" s="19" t="s">
        <v>1315</v>
      </c>
    </row>
    <row r="88" spans="1:12" ht="24" x14ac:dyDescent="0.25">
      <c r="A88" s="16" t="s">
        <v>268</v>
      </c>
      <c r="B88" s="17" t="s">
        <v>269</v>
      </c>
      <c r="C88" s="16" t="s">
        <v>1323</v>
      </c>
      <c r="D88" s="17" t="s">
        <v>1324</v>
      </c>
      <c r="E88" s="16" t="s">
        <v>133</v>
      </c>
      <c r="F88" s="16" t="s">
        <v>84</v>
      </c>
      <c r="G88" s="16" t="s">
        <v>619</v>
      </c>
      <c r="H88" s="16" t="s">
        <v>496</v>
      </c>
      <c r="I88" s="17" t="s">
        <v>1332</v>
      </c>
      <c r="J88" s="17" t="s">
        <v>4042</v>
      </c>
      <c r="K88" s="17" t="s">
        <v>1291</v>
      </c>
      <c r="L88" s="17" t="s">
        <v>1327</v>
      </c>
    </row>
    <row r="89" spans="1:12" ht="24" x14ac:dyDescent="0.25">
      <c r="A89" s="18" t="s">
        <v>268</v>
      </c>
      <c r="B89" s="19" t="s">
        <v>269</v>
      </c>
      <c r="C89" s="18" t="s">
        <v>1333</v>
      </c>
      <c r="D89" s="19" t="s">
        <v>1334</v>
      </c>
      <c r="E89" s="18" t="s">
        <v>133</v>
      </c>
      <c r="F89" s="18" t="s">
        <v>84</v>
      </c>
      <c r="G89" s="18" t="s">
        <v>495</v>
      </c>
      <c r="H89" s="18" t="s">
        <v>496</v>
      </c>
      <c r="I89" s="19" t="s">
        <v>1343</v>
      </c>
      <c r="J89" s="19" t="s">
        <v>4043</v>
      </c>
      <c r="K89" s="19" t="s">
        <v>1342</v>
      </c>
      <c r="L89" s="19" t="s">
        <v>1337</v>
      </c>
    </row>
    <row r="90" spans="1:12" x14ac:dyDescent="0.25">
      <c r="A90" s="16" t="s">
        <v>268</v>
      </c>
      <c r="B90" s="17" t="s">
        <v>269</v>
      </c>
      <c r="C90" s="16" t="s">
        <v>1538</v>
      </c>
      <c r="D90" s="17" t="s">
        <v>1539</v>
      </c>
      <c r="E90" s="16" t="s">
        <v>145</v>
      </c>
      <c r="F90" s="16" t="s">
        <v>79</v>
      </c>
      <c r="G90" s="16" t="s">
        <v>619</v>
      </c>
      <c r="H90" s="16" t="s">
        <v>678</v>
      </c>
      <c r="I90" s="17" t="s">
        <v>1548</v>
      </c>
      <c r="J90" s="17" t="s">
        <v>4044</v>
      </c>
      <c r="K90" s="17" t="s">
        <v>1547</v>
      </c>
      <c r="L90" s="17" t="s">
        <v>1541</v>
      </c>
    </row>
    <row r="91" spans="1:12" ht="24" x14ac:dyDescent="0.25">
      <c r="A91" s="18" t="s">
        <v>268</v>
      </c>
      <c r="B91" s="19" t="s">
        <v>269</v>
      </c>
      <c r="C91" s="18" t="s">
        <v>1621</v>
      </c>
      <c r="D91" s="19" t="s">
        <v>1622</v>
      </c>
      <c r="E91" s="18" t="s">
        <v>148</v>
      </c>
      <c r="F91" s="18" t="s">
        <v>84</v>
      </c>
      <c r="G91" s="18" t="s">
        <v>619</v>
      </c>
      <c r="H91" s="18" t="s">
        <v>678</v>
      </c>
      <c r="I91" s="19" t="s">
        <v>1633</v>
      </c>
      <c r="J91" s="19" t="s">
        <v>4045</v>
      </c>
      <c r="K91" s="19" t="s">
        <v>1632</v>
      </c>
      <c r="L91" s="19" t="s">
        <v>1625</v>
      </c>
    </row>
    <row r="92" spans="1:12" ht="24" x14ac:dyDescent="0.25">
      <c r="A92" s="16" t="s">
        <v>268</v>
      </c>
      <c r="B92" s="17" t="s">
        <v>269</v>
      </c>
      <c r="C92" s="16" t="s">
        <v>1824</v>
      </c>
      <c r="D92" s="17" t="s">
        <v>1825</v>
      </c>
      <c r="E92" s="16" t="s">
        <v>157</v>
      </c>
      <c r="F92" s="16" t="s">
        <v>95</v>
      </c>
      <c r="G92" s="16" t="s">
        <v>495</v>
      </c>
      <c r="H92" s="16" t="s">
        <v>496</v>
      </c>
      <c r="I92" s="17" t="s">
        <v>1836</v>
      </c>
      <c r="J92" s="17" t="s">
        <v>4046</v>
      </c>
      <c r="K92" s="17" t="s">
        <v>1835</v>
      </c>
      <c r="L92" s="17" t="s">
        <v>1828</v>
      </c>
    </row>
    <row r="93" spans="1:12" ht="24" x14ac:dyDescent="0.25">
      <c r="A93" s="18" t="s">
        <v>275</v>
      </c>
      <c r="B93" s="19" t="s">
        <v>276</v>
      </c>
      <c r="C93" s="18" t="s">
        <v>1344</v>
      </c>
      <c r="D93" s="19" t="s">
        <v>1346</v>
      </c>
      <c r="E93" s="18" t="s">
        <v>136</v>
      </c>
      <c r="F93" s="18" t="s">
        <v>84</v>
      </c>
      <c r="G93" s="18" t="s">
        <v>495</v>
      </c>
      <c r="H93" s="18" t="s">
        <v>496</v>
      </c>
      <c r="I93" s="19" t="s">
        <v>1356</v>
      </c>
      <c r="J93" s="19" t="s">
        <v>4047</v>
      </c>
      <c r="K93" s="19" t="s">
        <v>1355</v>
      </c>
      <c r="L93" s="19" t="s">
        <v>1348</v>
      </c>
    </row>
    <row r="94" spans="1:12" ht="24" x14ac:dyDescent="0.25">
      <c r="A94" s="16" t="s">
        <v>275</v>
      </c>
      <c r="B94" s="17" t="s">
        <v>276</v>
      </c>
      <c r="C94" s="16" t="s">
        <v>1597</v>
      </c>
      <c r="D94" s="17" t="s">
        <v>1598</v>
      </c>
      <c r="E94" s="16" t="s">
        <v>148</v>
      </c>
      <c r="F94" s="16" t="s">
        <v>79</v>
      </c>
      <c r="G94" s="16" t="s">
        <v>619</v>
      </c>
      <c r="H94" s="16" t="s">
        <v>678</v>
      </c>
      <c r="I94" s="17" t="s">
        <v>1609</v>
      </c>
      <c r="J94" s="17" t="s">
        <v>4048</v>
      </c>
      <c r="K94" s="17" t="s">
        <v>1608</v>
      </c>
      <c r="L94" s="17" t="s">
        <v>1601</v>
      </c>
    </row>
    <row r="95" spans="1:12" ht="24" x14ac:dyDescent="0.25">
      <c r="A95" s="18" t="s">
        <v>275</v>
      </c>
      <c r="B95" s="19" t="s">
        <v>276</v>
      </c>
      <c r="C95" s="18" t="s">
        <v>1772</v>
      </c>
      <c r="D95" s="19" t="s">
        <v>1774</v>
      </c>
      <c r="E95" s="18" t="s">
        <v>157</v>
      </c>
      <c r="F95" s="18" t="s">
        <v>79</v>
      </c>
      <c r="G95" s="18" t="s">
        <v>495</v>
      </c>
      <c r="H95" s="18" t="s">
        <v>496</v>
      </c>
      <c r="I95" s="19" t="s">
        <v>1784</v>
      </c>
      <c r="J95" s="19" t="s">
        <v>4049</v>
      </c>
      <c r="K95" s="19" t="s">
        <v>1783</v>
      </c>
      <c r="L95" s="19" t="s">
        <v>1777</v>
      </c>
    </row>
    <row r="96" spans="1:12" ht="24" x14ac:dyDescent="0.25">
      <c r="A96" s="16" t="s">
        <v>275</v>
      </c>
      <c r="B96" s="17" t="s">
        <v>276</v>
      </c>
      <c r="C96" s="16" t="s">
        <v>1785</v>
      </c>
      <c r="D96" s="17" t="s">
        <v>1786</v>
      </c>
      <c r="E96" s="16" t="s">
        <v>157</v>
      </c>
      <c r="F96" s="16" t="s">
        <v>79</v>
      </c>
      <c r="G96" s="16" t="s">
        <v>495</v>
      </c>
      <c r="H96" s="16" t="s">
        <v>496</v>
      </c>
      <c r="I96" s="17" t="s">
        <v>1794</v>
      </c>
      <c r="J96" s="17" t="s">
        <v>4050</v>
      </c>
      <c r="K96" s="17" t="s">
        <v>1793</v>
      </c>
      <c r="L96" s="17" t="s">
        <v>1788</v>
      </c>
    </row>
    <row r="97" spans="1:12" ht="24" x14ac:dyDescent="0.25">
      <c r="A97" s="18" t="s">
        <v>275</v>
      </c>
      <c r="B97" s="19" t="s">
        <v>276</v>
      </c>
      <c r="C97" s="18" t="s">
        <v>1795</v>
      </c>
      <c r="D97" s="19" t="s">
        <v>1796</v>
      </c>
      <c r="E97" s="18" t="s">
        <v>157</v>
      </c>
      <c r="F97" s="18" t="s">
        <v>79</v>
      </c>
      <c r="G97" s="18" t="s">
        <v>619</v>
      </c>
      <c r="H97" s="18" t="s">
        <v>496</v>
      </c>
      <c r="I97" s="19" t="s">
        <v>1804</v>
      </c>
      <c r="J97" s="19" t="s">
        <v>4051</v>
      </c>
      <c r="K97" s="19" t="s">
        <v>1803</v>
      </c>
      <c r="L97" s="19" t="s">
        <v>1798</v>
      </c>
    </row>
    <row r="98" spans="1:12" ht="24" x14ac:dyDescent="0.25">
      <c r="A98" s="16" t="s">
        <v>275</v>
      </c>
      <c r="B98" s="17" t="s">
        <v>276</v>
      </c>
      <c r="C98" s="16" t="s">
        <v>1805</v>
      </c>
      <c r="D98" s="17" t="s">
        <v>1806</v>
      </c>
      <c r="E98" s="16" t="s">
        <v>157</v>
      </c>
      <c r="F98" s="16" t="s">
        <v>79</v>
      </c>
      <c r="G98" s="16" t="s">
        <v>619</v>
      </c>
      <c r="H98" s="16" t="s">
        <v>496</v>
      </c>
      <c r="I98" s="17" t="s">
        <v>1814</v>
      </c>
      <c r="J98" s="17" t="s">
        <v>4052</v>
      </c>
      <c r="K98" s="17" t="s">
        <v>1813</v>
      </c>
      <c r="L98" s="17" t="s">
        <v>1809</v>
      </c>
    </row>
    <row r="99" spans="1:12" ht="24" x14ac:dyDescent="0.25">
      <c r="A99" s="18" t="s">
        <v>275</v>
      </c>
      <c r="B99" s="19" t="s">
        <v>276</v>
      </c>
      <c r="C99" s="18" t="s">
        <v>1815</v>
      </c>
      <c r="D99" s="19" t="s">
        <v>1816</v>
      </c>
      <c r="E99" s="18" t="s">
        <v>157</v>
      </c>
      <c r="F99" s="18" t="s">
        <v>79</v>
      </c>
      <c r="G99" s="18" t="s">
        <v>619</v>
      </c>
      <c r="H99" s="18" t="s">
        <v>496</v>
      </c>
      <c r="I99" s="19" t="s">
        <v>1804</v>
      </c>
      <c r="J99" s="19" t="s">
        <v>4053</v>
      </c>
      <c r="K99" s="19" t="s">
        <v>1823</v>
      </c>
      <c r="L99" s="19" t="s">
        <v>1818</v>
      </c>
    </row>
    <row r="100" spans="1:12" ht="24" x14ac:dyDescent="0.25">
      <c r="A100" s="16" t="s">
        <v>275</v>
      </c>
      <c r="B100" s="17" t="s">
        <v>276</v>
      </c>
      <c r="C100" s="16" t="s">
        <v>1824</v>
      </c>
      <c r="D100" s="17" t="s">
        <v>1825</v>
      </c>
      <c r="E100" s="16" t="s">
        <v>157</v>
      </c>
      <c r="F100" s="16" t="s">
        <v>95</v>
      </c>
      <c r="G100" s="16" t="s">
        <v>495</v>
      </c>
      <c r="H100" s="16" t="s">
        <v>496</v>
      </c>
      <c r="I100" s="17" t="s">
        <v>1836</v>
      </c>
      <c r="J100" s="17" t="s">
        <v>4046</v>
      </c>
      <c r="K100" s="17" t="s">
        <v>1835</v>
      </c>
      <c r="L100" s="17" t="s">
        <v>1828</v>
      </c>
    </row>
    <row r="101" spans="1:12" ht="24" x14ac:dyDescent="0.25">
      <c r="A101" s="18" t="s">
        <v>275</v>
      </c>
      <c r="B101" s="19" t="s">
        <v>276</v>
      </c>
      <c r="C101" s="18" t="s">
        <v>1837</v>
      </c>
      <c r="D101" s="19" t="s">
        <v>1839</v>
      </c>
      <c r="E101" s="18" t="s">
        <v>160</v>
      </c>
      <c r="F101" s="18" t="s">
        <v>95</v>
      </c>
      <c r="G101" s="18" t="s">
        <v>495</v>
      </c>
      <c r="H101" s="18" t="s">
        <v>496</v>
      </c>
      <c r="I101" s="19" t="s">
        <v>1850</v>
      </c>
      <c r="J101" s="19" t="s">
        <v>4054</v>
      </c>
      <c r="K101" s="19" t="s">
        <v>1849</v>
      </c>
      <c r="L101" s="19" t="s">
        <v>1842</v>
      </c>
    </row>
    <row r="102" spans="1:12" ht="24" x14ac:dyDescent="0.25">
      <c r="A102" s="16" t="s">
        <v>275</v>
      </c>
      <c r="B102" s="17" t="s">
        <v>276</v>
      </c>
      <c r="C102" s="16" t="s">
        <v>1851</v>
      </c>
      <c r="D102" s="17" t="s">
        <v>1852</v>
      </c>
      <c r="E102" s="16" t="s">
        <v>160</v>
      </c>
      <c r="F102" s="16" t="s">
        <v>95</v>
      </c>
      <c r="G102" s="16" t="s">
        <v>495</v>
      </c>
      <c r="H102" s="16" t="s">
        <v>496</v>
      </c>
      <c r="I102" s="17" t="s">
        <v>1861</v>
      </c>
      <c r="J102" s="17" t="s">
        <v>4055</v>
      </c>
      <c r="K102" s="17" t="s">
        <v>1860</v>
      </c>
      <c r="L102" s="17" t="s">
        <v>1855</v>
      </c>
    </row>
    <row r="103" spans="1:12" ht="24" x14ac:dyDescent="0.25">
      <c r="A103" s="18" t="s">
        <v>275</v>
      </c>
      <c r="B103" s="19" t="s">
        <v>276</v>
      </c>
      <c r="C103" s="18" t="s">
        <v>1862</v>
      </c>
      <c r="D103" s="19" t="s">
        <v>1863</v>
      </c>
      <c r="E103" s="18" t="s">
        <v>160</v>
      </c>
      <c r="F103" s="18" t="s">
        <v>95</v>
      </c>
      <c r="G103" s="18" t="s">
        <v>619</v>
      </c>
      <c r="H103" s="18" t="s">
        <v>496</v>
      </c>
      <c r="I103" s="19" t="s">
        <v>1873</v>
      </c>
      <c r="J103" s="19" t="s">
        <v>4056</v>
      </c>
      <c r="K103" s="19" t="s">
        <v>1872</v>
      </c>
      <c r="L103" s="19" t="s">
        <v>1865</v>
      </c>
    </row>
    <row r="104" spans="1:12" ht="24" x14ac:dyDescent="0.25">
      <c r="A104" s="16" t="s">
        <v>275</v>
      </c>
      <c r="B104" s="17" t="s">
        <v>276</v>
      </c>
      <c r="C104" s="16" t="s">
        <v>1874</v>
      </c>
      <c r="D104" s="17" t="s">
        <v>1875</v>
      </c>
      <c r="E104" s="16" t="s">
        <v>160</v>
      </c>
      <c r="F104" s="16" t="s">
        <v>95</v>
      </c>
      <c r="G104" s="16" t="s">
        <v>619</v>
      </c>
      <c r="H104" s="16" t="s">
        <v>678</v>
      </c>
      <c r="I104" s="17" t="s">
        <v>1884</v>
      </c>
      <c r="J104" s="17" t="s">
        <v>4028</v>
      </c>
      <c r="K104" s="17" t="s">
        <v>1883</v>
      </c>
      <c r="L104" s="17" t="s">
        <v>1877</v>
      </c>
    </row>
    <row r="105" spans="1:12" ht="24" x14ac:dyDescent="0.25">
      <c r="A105" s="18" t="s">
        <v>275</v>
      </c>
      <c r="B105" s="19" t="s">
        <v>276</v>
      </c>
      <c r="C105" s="18" t="s">
        <v>1885</v>
      </c>
      <c r="D105" s="19" t="s">
        <v>1886</v>
      </c>
      <c r="E105" s="18" t="s">
        <v>160</v>
      </c>
      <c r="F105" s="18" t="s">
        <v>95</v>
      </c>
      <c r="G105" s="18" t="s">
        <v>495</v>
      </c>
      <c r="H105" s="18" t="s">
        <v>496</v>
      </c>
      <c r="I105" s="19" t="s">
        <v>1038</v>
      </c>
      <c r="J105" s="19" t="s">
        <v>4057</v>
      </c>
      <c r="K105" s="19" t="s">
        <v>1892</v>
      </c>
      <c r="L105" s="19" t="s">
        <v>1888</v>
      </c>
    </row>
    <row r="106" spans="1:12" x14ac:dyDescent="0.25">
      <c r="A106" s="16" t="s">
        <v>282</v>
      </c>
      <c r="B106" s="17" t="s">
        <v>283</v>
      </c>
      <c r="C106" s="16" t="s">
        <v>692</v>
      </c>
      <c r="D106" s="17" t="s">
        <v>693</v>
      </c>
      <c r="E106" s="16" t="s">
        <v>107</v>
      </c>
      <c r="F106" s="16" t="s">
        <v>79</v>
      </c>
      <c r="G106" s="16" t="s">
        <v>495</v>
      </c>
      <c r="H106" s="16" t="s">
        <v>496</v>
      </c>
      <c r="I106" s="17" t="s">
        <v>703</v>
      </c>
      <c r="J106" s="17" t="s">
        <v>3995</v>
      </c>
      <c r="K106" s="17" t="s">
        <v>702</v>
      </c>
      <c r="L106" s="17" t="s">
        <v>696</v>
      </c>
    </row>
    <row r="107" spans="1:12" x14ac:dyDescent="0.25">
      <c r="A107" s="18" t="s">
        <v>282</v>
      </c>
      <c r="B107" s="19" t="s">
        <v>283</v>
      </c>
      <c r="C107" s="18" t="s">
        <v>1654</v>
      </c>
      <c r="D107" s="19" t="s">
        <v>1655</v>
      </c>
      <c r="E107" s="18" t="s">
        <v>151</v>
      </c>
      <c r="F107" s="18" t="s">
        <v>84</v>
      </c>
      <c r="G107" s="18" t="s">
        <v>495</v>
      </c>
      <c r="H107" s="18" t="s">
        <v>496</v>
      </c>
      <c r="I107" s="19" t="s">
        <v>1663</v>
      </c>
      <c r="J107" s="19" t="s">
        <v>4058</v>
      </c>
      <c r="K107" s="19" t="s">
        <v>1662</v>
      </c>
      <c r="L107" s="19" t="s">
        <v>558</v>
      </c>
    </row>
    <row r="108" spans="1:12" x14ac:dyDescent="0.25">
      <c r="A108" s="16" t="s">
        <v>282</v>
      </c>
      <c r="B108" s="17" t="s">
        <v>283</v>
      </c>
      <c r="C108" s="16" t="s">
        <v>1684</v>
      </c>
      <c r="D108" s="17" t="s">
        <v>1686</v>
      </c>
      <c r="E108" s="16" t="s">
        <v>154</v>
      </c>
      <c r="F108" s="16" t="s">
        <v>95</v>
      </c>
      <c r="G108" s="16" t="s">
        <v>495</v>
      </c>
      <c r="H108" s="16" t="s">
        <v>496</v>
      </c>
      <c r="I108" s="17" t="s">
        <v>1696</v>
      </c>
      <c r="J108" s="17" t="s">
        <v>4059</v>
      </c>
      <c r="K108" s="17" t="s">
        <v>1695</v>
      </c>
      <c r="L108" s="17" t="s">
        <v>1689</v>
      </c>
    </row>
    <row r="109" spans="1:12" x14ac:dyDescent="0.25">
      <c r="A109" s="18" t="s">
        <v>282</v>
      </c>
      <c r="B109" s="19" t="s">
        <v>283</v>
      </c>
      <c r="C109" s="18" t="s">
        <v>1697</v>
      </c>
      <c r="D109" s="19" t="s">
        <v>1698</v>
      </c>
      <c r="E109" s="18" t="s">
        <v>154</v>
      </c>
      <c r="F109" s="18" t="s">
        <v>84</v>
      </c>
      <c r="G109" s="18" t="s">
        <v>495</v>
      </c>
      <c r="H109" s="18" t="s">
        <v>496</v>
      </c>
      <c r="I109" s="19" t="s">
        <v>1707</v>
      </c>
      <c r="J109" s="19" t="s">
        <v>4060</v>
      </c>
      <c r="K109" s="19" t="s">
        <v>1706</v>
      </c>
      <c r="L109" s="19" t="s">
        <v>558</v>
      </c>
    </row>
    <row r="110" spans="1:12" x14ac:dyDescent="0.25">
      <c r="A110" s="16" t="s">
        <v>282</v>
      </c>
      <c r="B110" s="17" t="s">
        <v>283</v>
      </c>
      <c r="C110" s="16" t="s">
        <v>1708</v>
      </c>
      <c r="D110" s="17" t="s">
        <v>1709</v>
      </c>
      <c r="E110" s="16" t="s">
        <v>154</v>
      </c>
      <c r="F110" s="16" t="s">
        <v>73</v>
      </c>
      <c r="G110" s="16" t="s">
        <v>495</v>
      </c>
      <c r="H110" s="16" t="s">
        <v>496</v>
      </c>
      <c r="I110" s="17" t="s">
        <v>1558</v>
      </c>
      <c r="J110" s="17" t="s">
        <v>4061</v>
      </c>
      <c r="K110" s="17" t="s">
        <v>1716</v>
      </c>
      <c r="L110" s="17" t="s">
        <v>1711</v>
      </c>
    </row>
    <row r="111" spans="1:12" x14ac:dyDescent="0.25">
      <c r="A111" s="18" t="s">
        <v>282</v>
      </c>
      <c r="B111" s="19" t="s">
        <v>283</v>
      </c>
      <c r="C111" s="18" t="s">
        <v>1717</v>
      </c>
      <c r="D111" s="19" t="s">
        <v>1718</v>
      </c>
      <c r="E111" s="18" t="s">
        <v>154</v>
      </c>
      <c r="F111" s="18" t="s">
        <v>73</v>
      </c>
      <c r="G111" s="18" t="s">
        <v>495</v>
      </c>
      <c r="H111" s="18" t="s">
        <v>496</v>
      </c>
      <c r="I111" s="19" t="s">
        <v>1728</v>
      </c>
      <c r="J111" s="19" t="s">
        <v>4062</v>
      </c>
      <c r="K111" s="19" t="s">
        <v>1727</v>
      </c>
      <c r="L111" s="19" t="s">
        <v>1721</v>
      </c>
    </row>
    <row r="112" spans="1:12" x14ac:dyDescent="0.25">
      <c r="A112" s="16" t="s">
        <v>282</v>
      </c>
      <c r="B112" s="17" t="s">
        <v>283</v>
      </c>
      <c r="C112" s="16" t="s">
        <v>1729</v>
      </c>
      <c r="D112" s="17" t="s">
        <v>1730</v>
      </c>
      <c r="E112" s="16" t="s">
        <v>154</v>
      </c>
      <c r="F112" s="16" t="s">
        <v>73</v>
      </c>
      <c r="G112" s="16" t="s">
        <v>495</v>
      </c>
      <c r="H112" s="16" t="s">
        <v>496</v>
      </c>
      <c r="I112" s="17" t="s">
        <v>1739</v>
      </c>
      <c r="J112" s="17" t="s">
        <v>4063</v>
      </c>
      <c r="K112" s="17" t="s">
        <v>1738</v>
      </c>
      <c r="L112" s="17" t="s">
        <v>1732</v>
      </c>
    </row>
    <row r="113" spans="1:12" x14ac:dyDescent="0.25">
      <c r="A113" s="18" t="s">
        <v>282</v>
      </c>
      <c r="B113" s="19" t="s">
        <v>283</v>
      </c>
      <c r="C113" s="18" t="s">
        <v>1740</v>
      </c>
      <c r="D113" s="19" t="s">
        <v>1741</v>
      </c>
      <c r="E113" s="18" t="s">
        <v>154</v>
      </c>
      <c r="F113" s="18" t="s">
        <v>73</v>
      </c>
      <c r="G113" s="18" t="s">
        <v>619</v>
      </c>
      <c r="H113" s="18" t="s">
        <v>496</v>
      </c>
      <c r="I113" s="19" t="s">
        <v>1751</v>
      </c>
      <c r="J113" s="19" t="s">
        <v>4064</v>
      </c>
      <c r="K113" s="19" t="s">
        <v>1750</v>
      </c>
      <c r="L113" s="19" t="s">
        <v>1744</v>
      </c>
    </row>
    <row r="114" spans="1:12" ht="24" x14ac:dyDescent="0.25">
      <c r="A114" s="16" t="s">
        <v>282</v>
      </c>
      <c r="B114" s="17" t="s">
        <v>283</v>
      </c>
      <c r="C114" s="16" t="s">
        <v>1752</v>
      </c>
      <c r="D114" s="17" t="s">
        <v>1753</v>
      </c>
      <c r="E114" s="16" t="s">
        <v>154</v>
      </c>
      <c r="F114" s="16" t="s">
        <v>73</v>
      </c>
      <c r="G114" s="16" t="s">
        <v>619</v>
      </c>
      <c r="H114" s="16" t="s">
        <v>496</v>
      </c>
      <c r="I114" s="17" t="s">
        <v>1761</v>
      </c>
      <c r="J114" s="17" t="s">
        <v>4065</v>
      </c>
      <c r="K114" s="17" t="s">
        <v>1760</v>
      </c>
      <c r="L114" s="17" t="s">
        <v>1744</v>
      </c>
    </row>
    <row r="115" spans="1:12" ht="24" x14ac:dyDescent="0.25">
      <c r="A115" s="18" t="s">
        <v>282</v>
      </c>
      <c r="B115" s="19" t="s">
        <v>283</v>
      </c>
      <c r="C115" s="18" t="s">
        <v>1762</v>
      </c>
      <c r="D115" s="19" t="s">
        <v>1763</v>
      </c>
      <c r="E115" s="18" t="s">
        <v>154</v>
      </c>
      <c r="F115" s="18" t="s">
        <v>73</v>
      </c>
      <c r="G115" s="18" t="s">
        <v>619</v>
      </c>
      <c r="H115" s="18" t="s">
        <v>678</v>
      </c>
      <c r="I115" s="19" t="s">
        <v>1771</v>
      </c>
      <c r="J115" s="19" t="s">
        <v>4066</v>
      </c>
      <c r="K115" s="19" t="s">
        <v>1770</v>
      </c>
      <c r="L115" s="19" t="s">
        <v>1765</v>
      </c>
    </row>
    <row r="116" spans="1:12" x14ac:dyDescent="0.25">
      <c r="A116" s="16" t="s">
        <v>289</v>
      </c>
      <c r="B116" s="17" t="s">
        <v>290</v>
      </c>
      <c r="C116" s="16" t="s">
        <v>1127</v>
      </c>
      <c r="D116" s="17" t="s">
        <v>1128</v>
      </c>
      <c r="E116" s="16" t="s">
        <v>127</v>
      </c>
      <c r="F116" s="16" t="s">
        <v>84</v>
      </c>
      <c r="G116" s="16" t="s">
        <v>495</v>
      </c>
      <c r="H116" s="16" t="s">
        <v>496</v>
      </c>
      <c r="I116" s="17" t="s">
        <v>1136</v>
      </c>
      <c r="J116" s="17" t="s">
        <v>4022</v>
      </c>
      <c r="K116" s="17" t="s">
        <v>1135</v>
      </c>
      <c r="L116" s="17" t="s">
        <v>558</v>
      </c>
    </row>
    <row r="117" spans="1:12" x14ac:dyDescent="0.25">
      <c r="A117" s="18" t="s">
        <v>289</v>
      </c>
      <c r="B117" s="19" t="s">
        <v>290</v>
      </c>
      <c r="C117" s="18" t="s">
        <v>1418</v>
      </c>
      <c r="D117" s="19" t="s">
        <v>1419</v>
      </c>
      <c r="E117" s="18" t="s">
        <v>139</v>
      </c>
      <c r="F117" s="18" t="s">
        <v>73</v>
      </c>
      <c r="G117" s="18" t="s">
        <v>619</v>
      </c>
      <c r="H117" s="18" t="s">
        <v>678</v>
      </c>
      <c r="I117" s="19" t="s">
        <v>1429</v>
      </c>
      <c r="J117" s="19" t="s">
        <v>4067</v>
      </c>
      <c r="K117" s="19" t="s">
        <v>1428</v>
      </c>
      <c r="L117" s="19" t="s">
        <v>1421</v>
      </c>
    </row>
    <row r="118" spans="1:12" x14ac:dyDescent="0.25">
      <c r="A118" s="16" t="s">
        <v>289</v>
      </c>
      <c r="B118" s="17" t="s">
        <v>290</v>
      </c>
      <c r="C118" s="16" t="s">
        <v>1483</v>
      </c>
      <c r="D118" s="17" t="s">
        <v>1484</v>
      </c>
      <c r="E118" s="16" t="s">
        <v>142</v>
      </c>
      <c r="F118" s="16" t="s">
        <v>84</v>
      </c>
      <c r="G118" s="16" t="s">
        <v>495</v>
      </c>
      <c r="H118" s="16" t="s">
        <v>496</v>
      </c>
      <c r="I118" s="17" t="s">
        <v>1494</v>
      </c>
      <c r="J118" s="17" t="s">
        <v>4068</v>
      </c>
      <c r="K118" s="17" t="s">
        <v>1493</v>
      </c>
      <c r="L118" s="17" t="s">
        <v>558</v>
      </c>
    </row>
    <row r="119" spans="1:12" x14ac:dyDescent="0.25">
      <c r="A119" s="18" t="s">
        <v>289</v>
      </c>
      <c r="B119" s="19" t="s">
        <v>290</v>
      </c>
      <c r="C119" s="18" t="s">
        <v>1505</v>
      </c>
      <c r="D119" s="19" t="s">
        <v>1506</v>
      </c>
      <c r="E119" s="18" t="s">
        <v>142</v>
      </c>
      <c r="F119" s="18" t="s">
        <v>73</v>
      </c>
      <c r="G119" s="18" t="s">
        <v>495</v>
      </c>
      <c r="H119" s="18" t="s">
        <v>496</v>
      </c>
      <c r="I119" s="19" t="s">
        <v>1515</v>
      </c>
      <c r="J119" s="19" t="s">
        <v>4069</v>
      </c>
      <c r="K119" s="19" t="s">
        <v>1514</v>
      </c>
      <c r="L119" s="19" t="s">
        <v>1509</v>
      </c>
    </row>
    <row r="120" spans="1:12" x14ac:dyDescent="0.25">
      <c r="A120" s="16" t="s">
        <v>289</v>
      </c>
      <c r="B120" s="17" t="s">
        <v>290</v>
      </c>
      <c r="C120" s="16" t="s">
        <v>1634</v>
      </c>
      <c r="D120" s="17" t="s">
        <v>1636</v>
      </c>
      <c r="E120" s="16" t="s">
        <v>151</v>
      </c>
      <c r="F120" s="16" t="s">
        <v>84</v>
      </c>
      <c r="G120" s="16" t="s">
        <v>495</v>
      </c>
      <c r="H120" s="16" t="s">
        <v>496</v>
      </c>
      <c r="I120" s="17" t="s">
        <v>1643</v>
      </c>
      <c r="J120" s="17" t="s">
        <v>4070</v>
      </c>
      <c r="K120" s="17" t="s">
        <v>1642</v>
      </c>
      <c r="L120" s="17" t="s">
        <v>558</v>
      </c>
    </row>
    <row r="121" spans="1:12" x14ac:dyDescent="0.25">
      <c r="A121" s="18" t="s">
        <v>289</v>
      </c>
      <c r="B121" s="19" t="s">
        <v>290</v>
      </c>
      <c r="C121" s="18" t="s">
        <v>1644</v>
      </c>
      <c r="D121" s="19" t="s">
        <v>1645</v>
      </c>
      <c r="E121" s="18" t="s">
        <v>151</v>
      </c>
      <c r="F121" s="18" t="s">
        <v>73</v>
      </c>
      <c r="G121" s="18" t="s">
        <v>495</v>
      </c>
      <c r="H121" s="18" t="s">
        <v>496</v>
      </c>
      <c r="I121" s="19" t="s">
        <v>1653</v>
      </c>
      <c r="J121" s="19" t="s">
        <v>4071</v>
      </c>
      <c r="K121" s="19" t="s">
        <v>1652</v>
      </c>
      <c r="L121" s="19" t="s">
        <v>1647</v>
      </c>
    </row>
    <row r="122" spans="1:12" x14ac:dyDescent="0.25">
      <c r="A122" s="16" t="s">
        <v>289</v>
      </c>
      <c r="B122" s="17" t="s">
        <v>290</v>
      </c>
      <c r="C122" s="16" t="s">
        <v>1654</v>
      </c>
      <c r="D122" s="17" t="s">
        <v>1655</v>
      </c>
      <c r="E122" s="16" t="s">
        <v>151</v>
      </c>
      <c r="F122" s="16" t="s">
        <v>84</v>
      </c>
      <c r="G122" s="16" t="s">
        <v>495</v>
      </c>
      <c r="H122" s="16" t="s">
        <v>496</v>
      </c>
      <c r="I122" s="17" t="s">
        <v>1663</v>
      </c>
      <c r="J122" s="17" t="s">
        <v>4058</v>
      </c>
      <c r="K122" s="17" t="s">
        <v>1662</v>
      </c>
      <c r="L122" s="17" t="s">
        <v>558</v>
      </c>
    </row>
    <row r="123" spans="1:12" x14ac:dyDescent="0.25">
      <c r="A123" s="18" t="s">
        <v>289</v>
      </c>
      <c r="B123" s="19" t="s">
        <v>290</v>
      </c>
      <c r="C123" s="18" t="s">
        <v>1664</v>
      </c>
      <c r="D123" s="19" t="s">
        <v>1665</v>
      </c>
      <c r="E123" s="18" t="s">
        <v>151</v>
      </c>
      <c r="F123" s="18" t="s">
        <v>73</v>
      </c>
      <c r="G123" s="18" t="s">
        <v>495</v>
      </c>
      <c r="H123" s="18" t="s">
        <v>496</v>
      </c>
      <c r="I123" s="19" t="s">
        <v>1673</v>
      </c>
      <c r="J123" s="19" t="s">
        <v>4072</v>
      </c>
      <c r="K123" s="19" t="s">
        <v>1672</v>
      </c>
      <c r="L123" s="19" t="s">
        <v>1667</v>
      </c>
    </row>
    <row r="124" spans="1:12" x14ac:dyDescent="0.25">
      <c r="A124" s="16" t="s">
        <v>289</v>
      </c>
      <c r="B124" s="17" t="s">
        <v>290</v>
      </c>
      <c r="C124" s="16" t="s">
        <v>1674</v>
      </c>
      <c r="D124" s="17" t="s">
        <v>1675</v>
      </c>
      <c r="E124" s="16" t="s">
        <v>151</v>
      </c>
      <c r="F124" s="16" t="s">
        <v>79</v>
      </c>
      <c r="G124" s="16" t="s">
        <v>619</v>
      </c>
      <c r="H124" s="16" t="s">
        <v>496</v>
      </c>
      <c r="I124" s="17" t="s">
        <v>1683</v>
      </c>
      <c r="J124" s="17" t="s">
        <v>4073</v>
      </c>
      <c r="K124" s="17" t="s">
        <v>1682</v>
      </c>
      <c r="L124" s="17" t="s">
        <v>1677</v>
      </c>
    </row>
    <row r="125" spans="1:12" x14ac:dyDescent="0.25">
      <c r="A125" s="18" t="s">
        <v>289</v>
      </c>
      <c r="B125" s="19" t="s">
        <v>290</v>
      </c>
      <c r="C125" s="18" t="s">
        <v>1697</v>
      </c>
      <c r="D125" s="19" t="s">
        <v>1698</v>
      </c>
      <c r="E125" s="18" t="s">
        <v>154</v>
      </c>
      <c r="F125" s="18" t="s">
        <v>84</v>
      </c>
      <c r="G125" s="18" t="s">
        <v>495</v>
      </c>
      <c r="H125" s="18" t="s">
        <v>496</v>
      </c>
      <c r="I125" s="19" t="s">
        <v>1707</v>
      </c>
      <c r="J125" s="19" t="s">
        <v>4060</v>
      </c>
      <c r="K125" s="19" t="s">
        <v>1706</v>
      </c>
      <c r="L125" s="19" t="s">
        <v>558</v>
      </c>
    </row>
    <row r="126" spans="1:12" ht="24" x14ac:dyDescent="0.25">
      <c r="A126" s="16" t="s">
        <v>289</v>
      </c>
      <c r="B126" s="17" t="s">
        <v>290</v>
      </c>
      <c r="C126" s="16" t="s">
        <v>1984</v>
      </c>
      <c r="D126" s="17" t="s">
        <v>1985</v>
      </c>
      <c r="E126" s="16" t="s">
        <v>167</v>
      </c>
      <c r="F126" s="16" t="s">
        <v>73</v>
      </c>
      <c r="G126" s="16" t="s">
        <v>619</v>
      </c>
      <c r="H126" s="16" t="s">
        <v>678</v>
      </c>
      <c r="I126" s="17" t="s">
        <v>1995</v>
      </c>
      <c r="J126" s="17" t="s">
        <v>4074</v>
      </c>
      <c r="K126" s="17" t="s">
        <v>1994</v>
      </c>
      <c r="L126" s="17" t="s">
        <v>1988</v>
      </c>
    </row>
    <row r="127" spans="1:12" ht="24" x14ac:dyDescent="0.25">
      <c r="A127" s="18" t="s">
        <v>296</v>
      </c>
      <c r="B127" s="19" t="s">
        <v>297</v>
      </c>
      <c r="C127" s="18" t="s">
        <v>500</v>
      </c>
      <c r="D127" s="19" t="s">
        <v>501</v>
      </c>
      <c r="E127" s="18" t="s">
        <v>103</v>
      </c>
      <c r="F127" s="18" t="s">
        <v>79</v>
      </c>
      <c r="G127" s="18" t="s">
        <v>495</v>
      </c>
      <c r="H127" s="18" t="s">
        <v>496</v>
      </c>
      <c r="I127" s="19" t="s">
        <v>511</v>
      </c>
      <c r="J127" s="19" t="s">
        <v>3971</v>
      </c>
      <c r="K127" s="19" t="s">
        <v>510</v>
      </c>
      <c r="L127" s="19" t="s">
        <v>503</v>
      </c>
    </row>
    <row r="128" spans="1:12" ht="24" x14ac:dyDescent="0.25">
      <c r="A128" s="16" t="s">
        <v>296</v>
      </c>
      <c r="B128" s="17" t="s">
        <v>297</v>
      </c>
      <c r="C128" s="16" t="s">
        <v>768</v>
      </c>
      <c r="D128" s="17" t="s">
        <v>769</v>
      </c>
      <c r="E128" s="16" t="s">
        <v>111</v>
      </c>
      <c r="F128" s="16" t="s">
        <v>84</v>
      </c>
      <c r="G128" s="16" t="s">
        <v>495</v>
      </c>
      <c r="H128" s="16" t="s">
        <v>496</v>
      </c>
      <c r="I128" s="17" t="s">
        <v>776</v>
      </c>
      <c r="J128" s="17" t="s">
        <v>4001</v>
      </c>
      <c r="K128" s="17" t="s">
        <v>748</v>
      </c>
      <c r="L128" s="17" t="s">
        <v>743</v>
      </c>
    </row>
    <row r="129" spans="1:12" ht="24" x14ac:dyDescent="0.25">
      <c r="A129" s="18" t="s">
        <v>296</v>
      </c>
      <c r="B129" s="19" t="s">
        <v>297</v>
      </c>
      <c r="C129" s="18" t="s">
        <v>895</v>
      </c>
      <c r="D129" s="19" t="s">
        <v>897</v>
      </c>
      <c r="E129" s="18" t="s">
        <v>120</v>
      </c>
      <c r="F129" s="18" t="s">
        <v>84</v>
      </c>
      <c r="G129" s="18" t="s">
        <v>495</v>
      </c>
      <c r="H129" s="18" t="s">
        <v>496</v>
      </c>
      <c r="I129" s="19" t="s">
        <v>906</v>
      </c>
      <c r="J129" s="19" t="s">
        <v>4075</v>
      </c>
      <c r="K129" s="19" t="s">
        <v>905</v>
      </c>
      <c r="L129" s="19" t="s">
        <v>899</v>
      </c>
    </row>
    <row r="130" spans="1:12" ht="24" x14ac:dyDescent="0.25">
      <c r="A130" s="16" t="s">
        <v>296</v>
      </c>
      <c r="B130" s="17" t="s">
        <v>297</v>
      </c>
      <c r="C130" s="16" t="s">
        <v>907</v>
      </c>
      <c r="D130" s="17" t="s">
        <v>908</v>
      </c>
      <c r="E130" s="16" t="s">
        <v>120</v>
      </c>
      <c r="F130" s="16" t="s">
        <v>84</v>
      </c>
      <c r="G130" s="16" t="s">
        <v>495</v>
      </c>
      <c r="H130" s="16" t="s">
        <v>496</v>
      </c>
      <c r="I130" s="17" t="s">
        <v>917</v>
      </c>
      <c r="J130" s="17" t="s">
        <v>4076</v>
      </c>
      <c r="K130" s="17" t="s">
        <v>916</v>
      </c>
      <c r="L130" s="17" t="s">
        <v>910</v>
      </c>
    </row>
    <row r="131" spans="1:12" ht="24" x14ac:dyDescent="0.25">
      <c r="A131" s="18" t="s">
        <v>296</v>
      </c>
      <c r="B131" s="19" t="s">
        <v>297</v>
      </c>
      <c r="C131" s="18" t="s">
        <v>918</v>
      </c>
      <c r="D131" s="19" t="s">
        <v>919</v>
      </c>
      <c r="E131" s="18" t="s">
        <v>120</v>
      </c>
      <c r="F131" s="18" t="s">
        <v>84</v>
      </c>
      <c r="G131" s="18" t="s">
        <v>495</v>
      </c>
      <c r="H131" s="18" t="s">
        <v>496</v>
      </c>
      <c r="I131" s="19" t="s">
        <v>928</v>
      </c>
      <c r="J131" s="19" t="s">
        <v>4077</v>
      </c>
      <c r="K131" s="19" t="s">
        <v>927</v>
      </c>
      <c r="L131" s="19" t="s">
        <v>922</v>
      </c>
    </row>
    <row r="132" spans="1:12" ht="24" x14ac:dyDescent="0.25">
      <c r="A132" s="16" t="s">
        <v>296</v>
      </c>
      <c r="B132" s="17" t="s">
        <v>297</v>
      </c>
      <c r="C132" s="16" t="s">
        <v>929</v>
      </c>
      <c r="D132" s="17" t="s">
        <v>930</v>
      </c>
      <c r="E132" s="16" t="s">
        <v>120</v>
      </c>
      <c r="F132" s="16" t="s">
        <v>79</v>
      </c>
      <c r="G132" s="16" t="s">
        <v>619</v>
      </c>
      <c r="H132" s="16" t="s">
        <v>678</v>
      </c>
      <c r="I132" s="17" t="s">
        <v>554</v>
      </c>
      <c r="J132" s="17" t="s">
        <v>4078</v>
      </c>
      <c r="K132" s="17" t="s">
        <v>938</v>
      </c>
      <c r="L132" s="17" t="s">
        <v>932</v>
      </c>
    </row>
    <row r="133" spans="1:12" ht="24" x14ac:dyDescent="0.25">
      <c r="A133" s="18" t="s">
        <v>296</v>
      </c>
      <c r="B133" s="19" t="s">
        <v>297</v>
      </c>
      <c r="C133" s="18" t="s">
        <v>939</v>
      </c>
      <c r="D133" s="19" t="s">
        <v>940</v>
      </c>
      <c r="E133" s="18" t="s">
        <v>120</v>
      </c>
      <c r="F133" s="18" t="s">
        <v>84</v>
      </c>
      <c r="G133" s="18" t="s">
        <v>495</v>
      </c>
      <c r="H133" s="18" t="s">
        <v>496</v>
      </c>
      <c r="I133" s="19" t="s">
        <v>951</v>
      </c>
      <c r="J133" s="19" t="s">
        <v>4079</v>
      </c>
      <c r="K133" s="19" t="s">
        <v>950</v>
      </c>
      <c r="L133" s="19" t="s">
        <v>943</v>
      </c>
    </row>
    <row r="134" spans="1:12" ht="24" x14ac:dyDescent="0.25">
      <c r="A134" s="16" t="s">
        <v>296</v>
      </c>
      <c r="B134" s="17" t="s">
        <v>297</v>
      </c>
      <c r="C134" s="16" t="s">
        <v>952</v>
      </c>
      <c r="D134" s="17" t="s">
        <v>954</v>
      </c>
      <c r="E134" s="16" t="s">
        <v>124</v>
      </c>
      <c r="F134" s="16" t="s">
        <v>84</v>
      </c>
      <c r="G134" s="16" t="s">
        <v>495</v>
      </c>
      <c r="H134" s="16" t="s">
        <v>496</v>
      </c>
      <c r="I134" s="17" t="s">
        <v>962</v>
      </c>
      <c r="J134" s="17" t="s">
        <v>4080</v>
      </c>
      <c r="K134" s="17" t="s">
        <v>961</v>
      </c>
      <c r="L134" s="17" t="s">
        <v>956</v>
      </c>
    </row>
    <row r="135" spans="1:12" ht="24" x14ac:dyDescent="0.25">
      <c r="A135" s="18" t="s">
        <v>296</v>
      </c>
      <c r="B135" s="19" t="s">
        <v>297</v>
      </c>
      <c r="C135" s="18" t="s">
        <v>963</v>
      </c>
      <c r="D135" s="19" t="s">
        <v>964</v>
      </c>
      <c r="E135" s="18" t="s">
        <v>124</v>
      </c>
      <c r="F135" s="18" t="s">
        <v>84</v>
      </c>
      <c r="G135" s="18" t="s">
        <v>495</v>
      </c>
      <c r="H135" s="18" t="s">
        <v>496</v>
      </c>
      <c r="I135" s="19" t="s">
        <v>974</v>
      </c>
      <c r="J135" s="19" t="s">
        <v>4081</v>
      </c>
      <c r="K135" s="19" t="s">
        <v>973</v>
      </c>
      <c r="L135" s="19" t="s">
        <v>967</v>
      </c>
    </row>
    <row r="136" spans="1:12" ht="24" x14ac:dyDescent="0.25">
      <c r="A136" s="16" t="s">
        <v>296</v>
      </c>
      <c r="B136" s="17" t="s">
        <v>297</v>
      </c>
      <c r="C136" s="16" t="s">
        <v>975</v>
      </c>
      <c r="D136" s="17" t="s">
        <v>976</v>
      </c>
      <c r="E136" s="16" t="s">
        <v>124</v>
      </c>
      <c r="F136" s="16" t="s">
        <v>84</v>
      </c>
      <c r="G136" s="16" t="s">
        <v>495</v>
      </c>
      <c r="H136" s="16" t="s">
        <v>496</v>
      </c>
      <c r="I136" s="17" t="s">
        <v>985</v>
      </c>
      <c r="J136" s="17" t="s">
        <v>4014</v>
      </c>
      <c r="K136" s="17" t="s">
        <v>973</v>
      </c>
      <c r="L136" s="17" t="s">
        <v>967</v>
      </c>
    </row>
    <row r="137" spans="1:12" ht="24" x14ac:dyDescent="0.25">
      <c r="A137" s="18" t="s">
        <v>296</v>
      </c>
      <c r="B137" s="19" t="s">
        <v>297</v>
      </c>
      <c r="C137" s="18" t="s">
        <v>986</v>
      </c>
      <c r="D137" s="19" t="s">
        <v>987</v>
      </c>
      <c r="E137" s="18" t="s">
        <v>124</v>
      </c>
      <c r="F137" s="18" t="s">
        <v>73</v>
      </c>
      <c r="G137" s="18" t="s">
        <v>495</v>
      </c>
      <c r="H137" s="18" t="s">
        <v>496</v>
      </c>
      <c r="I137" s="19" t="s">
        <v>997</v>
      </c>
      <c r="J137" s="19" t="s">
        <v>3978</v>
      </c>
      <c r="K137" s="19" t="s">
        <v>996</v>
      </c>
      <c r="L137" s="19" t="s">
        <v>990</v>
      </c>
    </row>
    <row r="138" spans="1:12" ht="24" x14ac:dyDescent="0.25">
      <c r="A138" s="16" t="s">
        <v>296</v>
      </c>
      <c r="B138" s="17" t="s">
        <v>297</v>
      </c>
      <c r="C138" s="16" t="s">
        <v>998</v>
      </c>
      <c r="D138" s="17" t="s">
        <v>999</v>
      </c>
      <c r="E138" s="16" t="s">
        <v>124</v>
      </c>
      <c r="F138" s="16" t="s">
        <v>84</v>
      </c>
      <c r="G138" s="16" t="s">
        <v>619</v>
      </c>
      <c r="H138" s="16" t="s">
        <v>678</v>
      </c>
      <c r="I138" s="17" t="s">
        <v>1008</v>
      </c>
      <c r="J138" s="17" t="s">
        <v>4082</v>
      </c>
      <c r="K138" s="17" t="s">
        <v>1007</v>
      </c>
      <c r="L138" s="17" t="s">
        <v>1001</v>
      </c>
    </row>
    <row r="139" spans="1:12" ht="24" x14ac:dyDescent="0.25">
      <c r="A139" s="18" t="s">
        <v>296</v>
      </c>
      <c r="B139" s="19" t="s">
        <v>297</v>
      </c>
      <c r="C139" s="18" t="s">
        <v>1009</v>
      </c>
      <c r="D139" s="19" t="s">
        <v>1010</v>
      </c>
      <c r="E139" s="18" t="s">
        <v>124</v>
      </c>
      <c r="F139" s="18" t="s">
        <v>95</v>
      </c>
      <c r="G139" s="18" t="s">
        <v>619</v>
      </c>
      <c r="H139" s="18" t="s">
        <v>678</v>
      </c>
      <c r="I139" s="19" t="s">
        <v>1017</v>
      </c>
      <c r="J139" s="19" t="s">
        <v>4083</v>
      </c>
      <c r="K139" s="19" t="s">
        <v>973</v>
      </c>
      <c r="L139" s="19" t="s">
        <v>1012</v>
      </c>
    </row>
    <row r="140" spans="1:12" ht="24" x14ac:dyDescent="0.25">
      <c r="A140" s="16" t="s">
        <v>296</v>
      </c>
      <c r="B140" s="17" t="s">
        <v>297</v>
      </c>
      <c r="C140" s="16" t="s">
        <v>1018</v>
      </c>
      <c r="D140" s="17" t="s">
        <v>1019</v>
      </c>
      <c r="E140" s="16" t="s">
        <v>124</v>
      </c>
      <c r="F140" s="16" t="s">
        <v>84</v>
      </c>
      <c r="G140" s="16" t="s">
        <v>619</v>
      </c>
      <c r="H140" s="16" t="s">
        <v>678</v>
      </c>
      <c r="I140" s="17" t="s">
        <v>1027</v>
      </c>
      <c r="J140" s="17" t="s">
        <v>4084</v>
      </c>
      <c r="K140" s="17" t="s">
        <v>1026</v>
      </c>
      <c r="L140" s="17" t="s">
        <v>1021</v>
      </c>
    </row>
    <row r="141" spans="1:12" ht="24" x14ac:dyDescent="0.25">
      <c r="A141" s="18" t="s">
        <v>296</v>
      </c>
      <c r="B141" s="19" t="s">
        <v>297</v>
      </c>
      <c r="C141" s="18" t="s">
        <v>1028</v>
      </c>
      <c r="D141" s="19" t="s">
        <v>1029</v>
      </c>
      <c r="E141" s="18" t="s">
        <v>124</v>
      </c>
      <c r="F141" s="18" t="s">
        <v>95</v>
      </c>
      <c r="G141" s="18" t="s">
        <v>619</v>
      </c>
      <c r="H141" s="18" t="s">
        <v>678</v>
      </c>
      <c r="I141" s="19" t="s">
        <v>1038</v>
      </c>
      <c r="J141" s="19" t="s">
        <v>4085</v>
      </c>
      <c r="K141" s="19" t="s">
        <v>1037</v>
      </c>
      <c r="L141" s="19" t="s">
        <v>1031</v>
      </c>
    </row>
    <row r="142" spans="1:12" ht="24" x14ac:dyDescent="0.25">
      <c r="A142" s="16" t="s">
        <v>296</v>
      </c>
      <c r="B142" s="17" t="s">
        <v>297</v>
      </c>
      <c r="C142" s="16" t="s">
        <v>1584</v>
      </c>
      <c r="D142" s="17" t="s">
        <v>1585</v>
      </c>
      <c r="E142" s="16" t="s">
        <v>148</v>
      </c>
      <c r="F142" s="16" t="s">
        <v>84</v>
      </c>
      <c r="G142" s="16" t="s">
        <v>619</v>
      </c>
      <c r="H142" s="16" t="s">
        <v>678</v>
      </c>
      <c r="I142" s="17" t="s">
        <v>1596</v>
      </c>
      <c r="J142" s="17" t="s">
        <v>4086</v>
      </c>
      <c r="K142" s="17" t="s">
        <v>1595</v>
      </c>
      <c r="L142" s="17" t="s">
        <v>1588</v>
      </c>
    </row>
    <row r="143" spans="1:12" ht="24" x14ac:dyDescent="0.25">
      <c r="A143" s="18" t="s">
        <v>296</v>
      </c>
      <c r="B143" s="19" t="s">
        <v>297</v>
      </c>
      <c r="C143" s="18" t="s">
        <v>1837</v>
      </c>
      <c r="D143" s="19" t="s">
        <v>1839</v>
      </c>
      <c r="E143" s="18" t="s">
        <v>160</v>
      </c>
      <c r="F143" s="18" t="s">
        <v>95</v>
      </c>
      <c r="G143" s="18" t="s">
        <v>495</v>
      </c>
      <c r="H143" s="18" t="s">
        <v>496</v>
      </c>
      <c r="I143" s="19" t="s">
        <v>1850</v>
      </c>
      <c r="J143" s="19" t="s">
        <v>4054</v>
      </c>
      <c r="K143" s="19" t="s">
        <v>1849</v>
      </c>
      <c r="L143" s="19" t="s">
        <v>1842</v>
      </c>
    </row>
    <row r="144" spans="1:12" ht="24" x14ac:dyDescent="0.25">
      <c r="A144" s="16" t="s">
        <v>303</v>
      </c>
      <c r="B144" s="17" t="s">
        <v>304</v>
      </c>
      <c r="C144" s="16" t="s">
        <v>680</v>
      </c>
      <c r="D144" s="17" t="s">
        <v>681</v>
      </c>
      <c r="E144" s="16" t="s">
        <v>107</v>
      </c>
      <c r="F144" s="16" t="s">
        <v>79</v>
      </c>
      <c r="G144" s="16" t="s">
        <v>619</v>
      </c>
      <c r="H144" s="16" t="s">
        <v>496</v>
      </c>
      <c r="I144" s="17" t="s">
        <v>691</v>
      </c>
      <c r="J144" s="17" t="s">
        <v>3994</v>
      </c>
      <c r="K144" s="17" t="s">
        <v>690</v>
      </c>
      <c r="L144" s="17" t="s">
        <v>684</v>
      </c>
    </row>
    <row r="145" spans="1:12" ht="24" x14ac:dyDescent="0.25">
      <c r="A145" s="18" t="s">
        <v>303</v>
      </c>
      <c r="B145" s="19" t="s">
        <v>304</v>
      </c>
      <c r="C145" s="18" t="s">
        <v>788</v>
      </c>
      <c r="D145" s="19" t="s">
        <v>789</v>
      </c>
      <c r="E145" s="18" t="s">
        <v>111</v>
      </c>
      <c r="F145" s="18" t="s">
        <v>79</v>
      </c>
      <c r="G145" s="18" t="s">
        <v>495</v>
      </c>
      <c r="H145" s="18" t="s">
        <v>496</v>
      </c>
      <c r="I145" s="19" t="s">
        <v>799</v>
      </c>
      <c r="J145" s="19" t="s">
        <v>4003</v>
      </c>
      <c r="K145" s="19" t="s">
        <v>798</v>
      </c>
      <c r="L145" s="19" t="s">
        <v>791</v>
      </c>
    </row>
    <row r="146" spans="1:12" ht="24" x14ac:dyDescent="0.25">
      <c r="A146" s="16" t="s">
        <v>303</v>
      </c>
      <c r="B146" s="17" t="s">
        <v>304</v>
      </c>
      <c r="C146" s="16" t="s">
        <v>841</v>
      </c>
      <c r="D146" s="17" t="s">
        <v>842</v>
      </c>
      <c r="E146" s="16" t="s">
        <v>114</v>
      </c>
      <c r="F146" s="16" t="s">
        <v>79</v>
      </c>
      <c r="G146" s="16" t="s">
        <v>619</v>
      </c>
      <c r="H146" s="16" t="s">
        <v>678</v>
      </c>
      <c r="I146" s="17" t="s">
        <v>849</v>
      </c>
      <c r="J146" s="17" t="s">
        <v>4008</v>
      </c>
      <c r="K146" s="17" t="s">
        <v>839</v>
      </c>
      <c r="L146" s="17" t="s">
        <v>844</v>
      </c>
    </row>
    <row r="147" spans="1:12" ht="24" x14ac:dyDescent="0.25">
      <c r="A147" s="18" t="s">
        <v>303</v>
      </c>
      <c r="B147" s="19" t="s">
        <v>304</v>
      </c>
      <c r="C147" s="18" t="s">
        <v>939</v>
      </c>
      <c r="D147" s="19" t="s">
        <v>940</v>
      </c>
      <c r="E147" s="18" t="s">
        <v>120</v>
      </c>
      <c r="F147" s="18" t="s">
        <v>84</v>
      </c>
      <c r="G147" s="18" t="s">
        <v>495</v>
      </c>
      <c r="H147" s="18" t="s">
        <v>496</v>
      </c>
      <c r="I147" s="19" t="s">
        <v>951</v>
      </c>
      <c r="J147" s="19" t="s">
        <v>4079</v>
      </c>
      <c r="K147" s="19" t="s">
        <v>950</v>
      </c>
      <c r="L147" s="19" t="s">
        <v>943</v>
      </c>
    </row>
    <row r="148" spans="1:12" ht="24" x14ac:dyDescent="0.25">
      <c r="A148" s="16" t="s">
        <v>303</v>
      </c>
      <c r="B148" s="17" t="s">
        <v>304</v>
      </c>
      <c r="C148" s="16" t="s">
        <v>998</v>
      </c>
      <c r="D148" s="17" t="s">
        <v>999</v>
      </c>
      <c r="E148" s="16" t="s">
        <v>124</v>
      </c>
      <c r="F148" s="16" t="s">
        <v>84</v>
      </c>
      <c r="G148" s="16" t="s">
        <v>619</v>
      </c>
      <c r="H148" s="16" t="s">
        <v>678</v>
      </c>
      <c r="I148" s="17" t="s">
        <v>1008</v>
      </c>
      <c r="J148" s="17" t="s">
        <v>4082</v>
      </c>
      <c r="K148" s="17" t="s">
        <v>1007</v>
      </c>
      <c r="L148" s="17" t="s">
        <v>1001</v>
      </c>
    </row>
    <row r="149" spans="1:12" ht="24" x14ac:dyDescent="0.25">
      <c r="A149" s="18" t="s">
        <v>303</v>
      </c>
      <c r="B149" s="19" t="s">
        <v>304</v>
      </c>
      <c r="C149" s="18" t="s">
        <v>1009</v>
      </c>
      <c r="D149" s="19" t="s">
        <v>1010</v>
      </c>
      <c r="E149" s="18" t="s">
        <v>124</v>
      </c>
      <c r="F149" s="18" t="s">
        <v>95</v>
      </c>
      <c r="G149" s="18" t="s">
        <v>619</v>
      </c>
      <c r="H149" s="18" t="s">
        <v>678</v>
      </c>
      <c r="I149" s="19" t="s">
        <v>1017</v>
      </c>
      <c r="J149" s="19" t="s">
        <v>4083</v>
      </c>
      <c r="K149" s="19" t="s">
        <v>973</v>
      </c>
      <c r="L149" s="19" t="s">
        <v>1012</v>
      </c>
    </row>
    <row r="150" spans="1:12" ht="24" x14ac:dyDescent="0.25">
      <c r="A150" s="16" t="s">
        <v>303</v>
      </c>
      <c r="B150" s="17" t="s">
        <v>304</v>
      </c>
      <c r="C150" s="16" t="s">
        <v>1028</v>
      </c>
      <c r="D150" s="17" t="s">
        <v>1029</v>
      </c>
      <c r="E150" s="16" t="s">
        <v>124</v>
      </c>
      <c r="F150" s="16" t="s">
        <v>95</v>
      </c>
      <c r="G150" s="16" t="s">
        <v>619</v>
      </c>
      <c r="H150" s="16" t="s">
        <v>678</v>
      </c>
      <c r="I150" s="17" t="s">
        <v>1038</v>
      </c>
      <c r="J150" s="17" t="s">
        <v>4085</v>
      </c>
      <c r="K150" s="17" t="s">
        <v>1037</v>
      </c>
      <c r="L150" s="17" t="s">
        <v>1031</v>
      </c>
    </row>
    <row r="151" spans="1:12" ht="24" x14ac:dyDescent="0.25">
      <c r="A151" s="18" t="s">
        <v>303</v>
      </c>
      <c r="B151" s="19" t="s">
        <v>304</v>
      </c>
      <c r="C151" s="18" t="s">
        <v>1312</v>
      </c>
      <c r="D151" s="19" t="s">
        <v>1313</v>
      </c>
      <c r="E151" s="18" t="s">
        <v>133</v>
      </c>
      <c r="F151" s="18" t="s">
        <v>95</v>
      </c>
      <c r="G151" s="18" t="s">
        <v>495</v>
      </c>
      <c r="H151" s="18" t="s">
        <v>496</v>
      </c>
      <c r="I151" s="19" t="s">
        <v>1038</v>
      </c>
      <c r="J151" s="19" t="s">
        <v>4041</v>
      </c>
      <c r="K151" s="19" t="s">
        <v>1322</v>
      </c>
      <c r="L151" s="19" t="s">
        <v>1315</v>
      </c>
    </row>
    <row r="152" spans="1:12" ht="24" x14ac:dyDescent="0.25">
      <c r="A152" s="16" t="s">
        <v>303</v>
      </c>
      <c r="B152" s="17" t="s">
        <v>304</v>
      </c>
      <c r="C152" s="16" t="s">
        <v>1344</v>
      </c>
      <c r="D152" s="17" t="s">
        <v>1346</v>
      </c>
      <c r="E152" s="16" t="s">
        <v>136</v>
      </c>
      <c r="F152" s="16" t="s">
        <v>84</v>
      </c>
      <c r="G152" s="16" t="s">
        <v>495</v>
      </c>
      <c r="H152" s="16" t="s">
        <v>496</v>
      </c>
      <c r="I152" s="17" t="s">
        <v>1356</v>
      </c>
      <c r="J152" s="17" t="s">
        <v>4047</v>
      </c>
      <c r="K152" s="17" t="s">
        <v>1355</v>
      </c>
      <c r="L152" s="17" t="s">
        <v>1348</v>
      </c>
    </row>
    <row r="153" spans="1:12" ht="24" x14ac:dyDescent="0.25">
      <c r="A153" s="18" t="s">
        <v>303</v>
      </c>
      <c r="B153" s="19" t="s">
        <v>304</v>
      </c>
      <c r="C153" s="18" t="s">
        <v>1357</v>
      </c>
      <c r="D153" s="19" t="s">
        <v>1358</v>
      </c>
      <c r="E153" s="18" t="s">
        <v>136</v>
      </c>
      <c r="F153" s="18" t="s">
        <v>84</v>
      </c>
      <c r="G153" s="18" t="s">
        <v>619</v>
      </c>
      <c r="H153" s="18" t="s">
        <v>496</v>
      </c>
      <c r="I153" s="19" t="s">
        <v>1366</v>
      </c>
      <c r="J153" s="19" t="s">
        <v>4087</v>
      </c>
      <c r="K153" s="19" t="s">
        <v>1365</v>
      </c>
      <c r="L153" s="19" t="s">
        <v>1360</v>
      </c>
    </row>
    <row r="154" spans="1:12" ht="24" x14ac:dyDescent="0.25">
      <c r="A154" s="16" t="s">
        <v>303</v>
      </c>
      <c r="B154" s="17" t="s">
        <v>304</v>
      </c>
      <c r="C154" s="16" t="s">
        <v>1367</v>
      </c>
      <c r="D154" s="17" t="s">
        <v>1368</v>
      </c>
      <c r="E154" s="16" t="s">
        <v>136</v>
      </c>
      <c r="F154" s="16" t="s">
        <v>84</v>
      </c>
      <c r="G154" s="16" t="s">
        <v>495</v>
      </c>
      <c r="H154" s="16" t="s">
        <v>496</v>
      </c>
      <c r="I154" s="17" t="s">
        <v>1377</v>
      </c>
      <c r="J154" s="17" t="s">
        <v>4088</v>
      </c>
      <c r="K154" s="17" t="s">
        <v>1376</v>
      </c>
      <c r="L154" s="17" t="s">
        <v>1370</v>
      </c>
    </row>
    <row r="155" spans="1:12" ht="24" x14ac:dyDescent="0.25">
      <c r="A155" s="18" t="s">
        <v>303</v>
      </c>
      <c r="B155" s="19" t="s">
        <v>304</v>
      </c>
      <c r="C155" s="18" t="s">
        <v>1378</v>
      </c>
      <c r="D155" s="19" t="s">
        <v>1379</v>
      </c>
      <c r="E155" s="18" t="s">
        <v>136</v>
      </c>
      <c r="F155" s="18" t="s">
        <v>73</v>
      </c>
      <c r="G155" s="18" t="s">
        <v>619</v>
      </c>
      <c r="H155" s="18" t="s">
        <v>678</v>
      </c>
      <c r="I155" s="19" t="s">
        <v>1388</v>
      </c>
      <c r="J155" s="19" t="s">
        <v>4027</v>
      </c>
      <c r="K155" s="19" t="s">
        <v>1365</v>
      </c>
      <c r="L155" s="19" t="s">
        <v>1381</v>
      </c>
    </row>
    <row r="156" spans="1:12" ht="24" x14ac:dyDescent="0.25">
      <c r="A156" s="16" t="s">
        <v>303</v>
      </c>
      <c r="B156" s="17" t="s">
        <v>304</v>
      </c>
      <c r="C156" s="16" t="s">
        <v>1389</v>
      </c>
      <c r="D156" s="17" t="s">
        <v>1391</v>
      </c>
      <c r="E156" s="16" t="s">
        <v>139</v>
      </c>
      <c r="F156" s="16" t="s">
        <v>84</v>
      </c>
      <c r="G156" s="16" t="s">
        <v>495</v>
      </c>
      <c r="H156" s="16" t="s">
        <v>496</v>
      </c>
      <c r="I156" s="17" t="s">
        <v>1399</v>
      </c>
      <c r="J156" s="17" t="s">
        <v>4089</v>
      </c>
      <c r="K156" s="17" t="s">
        <v>1398</v>
      </c>
      <c r="L156" s="17" t="s">
        <v>1393</v>
      </c>
    </row>
    <row r="157" spans="1:12" ht="24" x14ac:dyDescent="0.25">
      <c r="A157" s="18" t="s">
        <v>303</v>
      </c>
      <c r="B157" s="19" t="s">
        <v>304</v>
      </c>
      <c r="C157" s="18" t="s">
        <v>1400</v>
      </c>
      <c r="D157" s="19" t="s">
        <v>1401</v>
      </c>
      <c r="E157" s="18" t="s">
        <v>139</v>
      </c>
      <c r="F157" s="18" t="s">
        <v>84</v>
      </c>
      <c r="G157" s="18" t="s">
        <v>495</v>
      </c>
      <c r="H157" s="18" t="s">
        <v>496</v>
      </c>
      <c r="I157" s="19" t="s">
        <v>1027</v>
      </c>
      <c r="J157" s="19" t="s">
        <v>4090</v>
      </c>
      <c r="K157" s="19" t="s">
        <v>1398</v>
      </c>
      <c r="L157" s="19" t="s">
        <v>1403</v>
      </c>
    </row>
    <row r="158" spans="1:12" ht="24" x14ac:dyDescent="0.25">
      <c r="A158" s="16" t="s">
        <v>303</v>
      </c>
      <c r="B158" s="17" t="s">
        <v>304</v>
      </c>
      <c r="C158" s="16" t="s">
        <v>1409</v>
      </c>
      <c r="D158" s="17" t="s">
        <v>1410</v>
      </c>
      <c r="E158" s="16" t="s">
        <v>139</v>
      </c>
      <c r="F158" s="16" t="s">
        <v>79</v>
      </c>
      <c r="G158" s="16" t="s">
        <v>495</v>
      </c>
      <c r="H158" s="16" t="s">
        <v>496</v>
      </c>
      <c r="I158" s="17" t="s">
        <v>691</v>
      </c>
      <c r="J158" s="17" t="s">
        <v>4091</v>
      </c>
      <c r="K158" s="17" t="s">
        <v>1417</v>
      </c>
      <c r="L158" s="17" t="s">
        <v>1412</v>
      </c>
    </row>
    <row r="159" spans="1:12" ht="24" x14ac:dyDescent="0.25">
      <c r="A159" s="18" t="s">
        <v>303</v>
      </c>
      <c r="B159" s="19" t="s">
        <v>304</v>
      </c>
      <c r="C159" s="18" t="s">
        <v>1418</v>
      </c>
      <c r="D159" s="19" t="s">
        <v>1419</v>
      </c>
      <c r="E159" s="18" t="s">
        <v>139</v>
      </c>
      <c r="F159" s="18" t="s">
        <v>73</v>
      </c>
      <c r="G159" s="18" t="s">
        <v>619</v>
      </c>
      <c r="H159" s="18" t="s">
        <v>678</v>
      </c>
      <c r="I159" s="19" t="s">
        <v>1429</v>
      </c>
      <c r="J159" s="19" t="s">
        <v>4067</v>
      </c>
      <c r="K159" s="19" t="s">
        <v>1428</v>
      </c>
      <c r="L159" s="19" t="s">
        <v>1421</v>
      </c>
    </row>
    <row r="160" spans="1:12" ht="24" x14ac:dyDescent="0.25">
      <c r="A160" s="16" t="s">
        <v>303</v>
      </c>
      <c r="B160" s="17" t="s">
        <v>304</v>
      </c>
      <c r="C160" s="16" t="s">
        <v>1430</v>
      </c>
      <c r="D160" s="17" t="s">
        <v>1431</v>
      </c>
      <c r="E160" s="16" t="s">
        <v>139</v>
      </c>
      <c r="F160" s="16" t="s">
        <v>95</v>
      </c>
      <c r="G160" s="16" t="s">
        <v>495</v>
      </c>
      <c r="H160" s="16" t="s">
        <v>496</v>
      </c>
      <c r="I160" s="17" t="s">
        <v>1441</v>
      </c>
      <c r="J160" s="17" t="s">
        <v>4092</v>
      </c>
      <c r="K160" s="17" t="s">
        <v>1440</v>
      </c>
      <c r="L160" s="17" t="s">
        <v>1434</v>
      </c>
    </row>
    <row r="161" spans="1:12" ht="24" x14ac:dyDescent="0.25">
      <c r="A161" s="18" t="s">
        <v>303</v>
      </c>
      <c r="B161" s="19" t="s">
        <v>304</v>
      </c>
      <c r="C161" s="18" t="s">
        <v>1442</v>
      </c>
      <c r="D161" s="19" t="s">
        <v>1443</v>
      </c>
      <c r="E161" s="18" t="s">
        <v>139</v>
      </c>
      <c r="F161" s="18" t="s">
        <v>79</v>
      </c>
      <c r="G161" s="18" t="s">
        <v>495</v>
      </c>
      <c r="H161" s="18" t="s">
        <v>496</v>
      </c>
      <c r="I161" s="19" t="s">
        <v>1441</v>
      </c>
      <c r="J161" s="19" t="s">
        <v>4093</v>
      </c>
      <c r="K161" s="19" t="s">
        <v>1450</v>
      </c>
      <c r="L161" s="19" t="s">
        <v>1445</v>
      </c>
    </row>
    <row r="162" spans="1:12" ht="24" x14ac:dyDescent="0.25">
      <c r="A162" s="16" t="s">
        <v>303</v>
      </c>
      <c r="B162" s="17" t="s">
        <v>304</v>
      </c>
      <c r="C162" s="16" t="s">
        <v>1451</v>
      </c>
      <c r="D162" s="17" t="s">
        <v>1452</v>
      </c>
      <c r="E162" s="16" t="s">
        <v>139</v>
      </c>
      <c r="F162" s="16" t="s">
        <v>79</v>
      </c>
      <c r="G162" s="16" t="s">
        <v>495</v>
      </c>
      <c r="H162" s="16" t="s">
        <v>678</v>
      </c>
      <c r="I162" s="17" t="s">
        <v>1461</v>
      </c>
      <c r="J162" s="17" t="s">
        <v>4094</v>
      </c>
      <c r="K162" s="17" t="s">
        <v>1460</v>
      </c>
      <c r="L162" s="17" t="s">
        <v>1454</v>
      </c>
    </row>
    <row r="163" spans="1:12" ht="24" x14ac:dyDescent="0.25">
      <c r="A163" s="18" t="s">
        <v>303</v>
      </c>
      <c r="B163" s="19" t="s">
        <v>304</v>
      </c>
      <c r="C163" s="18" t="s">
        <v>1462</v>
      </c>
      <c r="D163" s="19" t="s">
        <v>1463</v>
      </c>
      <c r="E163" s="18" t="s">
        <v>139</v>
      </c>
      <c r="F163" s="18" t="s">
        <v>73</v>
      </c>
      <c r="G163" s="18" t="s">
        <v>495</v>
      </c>
      <c r="H163" s="18" t="s">
        <v>496</v>
      </c>
      <c r="I163" s="19" t="s">
        <v>951</v>
      </c>
      <c r="J163" s="19" t="s">
        <v>4095</v>
      </c>
      <c r="K163" s="19" t="s">
        <v>1471</v>
      </c>
      <c r="L163" s="19" t="s">
        <v>1466</v>
      </c>
    </row>
    <row r="164" spans="1:12" ht="24" x14ac:dyDescent="0.25">
      <c r="A164" s="16" t="s">
        <v>303</v>
      </c>
      <c r="B164" s="17" t="s">
        <v>304</v>
      </c>
      <c r="C164" s="16" t="s">
        <v>1573</v>
      </c>
      <c r="D164" s="17" t="s">
        <v>1574</v>
      </c>
      <c r="E164" s="16" t="s">
        <v>148</v>
      </c>
      <c r="F164" s="16" t="s">
        <v>84</v>
      </c>
      <c r="G164" s="16" t="s">
        <v>495</v>
      </c>
      <c r="H164" s="16" t="s">
        <v>496</v>
      </c>
      <c r="I164" s="17" t="s">
        <v>1583</v>
      </c>
      <c r="J164" s="17" t="s">
        <v>4096</v>
      </c>
      <c r="K164" s="17" t="s">
        <v>1582</v>
      </c>
      <c r="L164" s="17" t="s">
        <v>1564</v>
      </c>
    </row>
    <row r="165" spans="1:12" ht="24" x14ac:dyDescent="0.25">
      <c r="A165" s="18" t="s">
        <v>303</v>
      </c>
      <c r="B165" s="19" t="s">
        <v>304</v>
      </c>
      <c r="C165" s="18" t="s">
        <v>1862</v>
      </c>
      <c r="D165" s="19" t="s">
        <v>1863</v>
      </c>
      <c r="E165" s="18" t="s">
        <v>160</v>
      </c>
      <c r="F165" s="18" t="s">
        <v>95</v>
      </c>
      <c r="G165" s="18" t="s">
        <v>619</v>
      </c>
      <c r="H165" s="18" t="s">
        <v>496</v>
      </c>
      <c r="I165" s="19" t="s">
        <v>1873</v>
      </c>
      <c r="J165" s="19" t="s">
        <v>4056</v>
      </c>
      <c r="K165" s="19" t="s">
        <v>1872</v>
      </c>
      <c r="L165" s="19" t="s">
        <v>1865</v>
      </c>
    </row>
    <row r="166" spans="1:12" ht="24" x14ac:dyDescent="0.25">
      <c r="A166" s="16" t="s">
        <v>303</v>
      </c>
      <c r="B166" s="17" t="s">
        <v>304</v>
      </c>
      <c r="C166" s="16" t="s">
        <v>1885</v>
      </c>
      <c r="D166" s="17" t="s">
        <v>1886</v>
      </c>
      <c r="E166" s="16" t="s">
        <v>160</v>
      </c>
      <c r="F166" s="16" t="s">
        <v>95</v>
      </c>
      <c r="G166" s="16" t="s">
        <v>495</v>
      </c>
      <c r="H166" s="16" t="s">
        <v>496</v>
      </c>
      <c r="I166" s="17" t="s">
        <v>1038</v>
      </c>
      <c r="J166" s="17" t="s">
        <v>4057</v>
      </c>
      <c r="K166" s="17" t="s">
        <v>1892</v>
      </c>
      <c r="L166" s="17" t="s">
        <v>1888</v>
      </c>
    </row>
    <row r="167" spans="1:12" ht="24" x14ac:dyDescent="0.25">
      <c r="A167" s="18" t="s">
        <v>310</v>
      </c>
      <c r="B167" s="19" t="s">
        <v>311</v>
      </c>
      <c r="C167" s="18" t="s">
        <v>874</v>
      </c>
      <c r="D167" s="19" t="s">
        <v>875</v>
      </c>
      <c r="E167" s="18" t="s">
        <v>117</v>
      </c>
      <c r="F167" s="18" t="s">
        <v>84</v>
      </c>
      <c r="G167" s="18" t="s">
        <v>495</v>
      </c>
      <c r="H167" s="18" t="s">
        <v>496</v>
      </c>
      <c r="I167" s="19" t="s">
        <v>883</v>
      </c>
      <c r="J167" s="19" t="s">
        <v>4011</v>
      </c>
      <c r="K167" s="19" t="s">
        <v>882</v>
      </c>
      <c r="L167" s="19" t="s">
        <v>867</v>
      </c>
    </row>
    <row r="168" spans="1:12" ht="24" x14ac:dyDescent="0.25">
      <c r="A168" s="16" t="s">
        <v>310</v>
      </c>
      <c r="B168" s="17" t="s">
        <v>311</v>
      </c>
      <c r="C168" s="16" t="s">
        <v>884</v>
      </c>
      <c r="D168" s="17" t="s">
        <v>885</v>
      </c>
      <c r="E168" s="16" t="s">
        <v>117</v>
      </c>
      <c r="F168" s="16" t="s">
        <v>84</v>
      </c>
      <c r="G168" s="16" t="s">
        <v>619</v>
      </c>
      <c r="H168" s="16" t="s">
        <v>678</v>
      </c>
      <c r="I168" s="17" t="s">
        <v>894</v>
      </c>
      <c r="J168" s="17" t="s">
        <v>4012</v>
      </c>
      <c r="K168" s="17" t="s">
        <v>893</v>
      </c>
      <c r="L168" s="17" t="s">
        <v>887</v>
      </c>
    </row>
    <row r="169" spans="1:12" ht="24" x14ac:dyDescent="0.25">
      <c r="A169" s="18" t="s">
        <v>310</v>
      </c>
      <c r="B169" s="19" t="s">
        <v>311</v>
      </c>
      <c r="C169" s="18" t="s">
        <v>1472</v>
      </c>
      <c r="D169" s="19" t="s">
        <v>1474</v>
      </c>
      <c r="E169" s="18" t="s">
        <v>142</v>
      </c>
      <c r="F169" s="18" t="s">
        <v>84</v>
      </c>
      <c r="G169" s="18" t="s">
        <v>495</v>
      </c>
      <c r="H169" s="18" t="s">
        <v>496</v>
      </c>
      <c r="I169" s="19" t="s">
        <v>1482</v>
      </c>
      <c r="J169" s="19" t="s">
        <v>4097</v>
      </c>
      <c r="K169" s="19" t="s">
        <v>1481</v>
      </c>
      <c r="L169" s="19" t="s">
        <v>1476</v>
      </c>
    </row>
    <row r="170" spans="1:12" ht="24" x14ac:dyDescent="0.25">
      <c r="A170" s="16" t="s">
        <v>310</v>
      </c>
      <c r="B170" s="17" t="s">
        <v>311</v>
      </c>
      <c r="C170" s="16" t="s">
        <v>1483</v>
      </c>
      <c r="D170" s="17" t="s">
        <v>1484</v>
      </c>
      <c r="E170" s="16" t="s">
        <v>142</v>
      </c>
      <c r="F170" s="16" t="s">
        <v>84</v>
      </c>
      <c r="G170" s="16" t="s">
        <v>495</v>
      </c>
      <c r="H170" s="16" t="s">
        <v>496</v>
      </c>
      <c r="I170" s="17" t="s">
        <v>1494</v>
      </c>
      <c r="J170" s="17" t="s">
        <v>4068</v>
      </c>
      <c r="K170" s="17" t="s">
        <v>1493</v>
      </c>
      <c r="L170" s="17" t="s">
        <v>558</v>
      </c>
    </row>
    <row r="171" spans="1:12" ht="24" x14ac:dyDescent="0.25">
      <c r="A171" s="18" t="s">
        <v>310</v>
      </c>
      <c r="B171" s="19" t="s">
        <v>311</v>
      </c>
      <c r="C171" s="18" t="s">
        <v>1495</v>
      </c>
      <c r="D171" s="19" t="s">
        <v>1496</v>
      </c>
      <c r="E171" s="18" t="s">
        <v>142</v>
      </c>
      <c r="F171" s="18" t="s">
        <v>73</v>
      </c>
      <c r="G171" s="18" t="s">
        <v>619</v>
      </c>
      <c r="H171" s="18" t="s">
        <v>496</v>
      </c>
      <c r="I171" s="19" t="s">
        <v>1504</v>
      </c>
      <c r="J171" s="19" t="s">
        <v>4098</v>
      </c>
      <c r="K171" s="19" t="s">
        <v>1503</v>
      </c>
      <c r="L171" s="19" t="s">
        <v>1498</v>
      </c>
    </row>
    <row r="172" spans="1:12" ht="24" x14ac:dyDescent="0.25">
      <c r="A172" s="16" t="s">
        <v>310</v>
      </c>
      <c r="B172" s="17" t="s">
        <v>311</v>
      </c>
      <c r="C172" s="16" t="s">
        <v>1505</v>
      </c>
      <c r="D172" s="17" t="s">
        <v>1506</v>
      </c>
      <c r="E172" s="16" t="s">
        <v>142</v>
      </c>
      <c r="F172" s="16" t="s">
        <v>73</v>
      </c>
      <c r="G172" s="16" t="s">
        <v>495</v>
      </c>
      <c r="H172" s="16" t="s">
        <v>496</v>
      </c>
      <c r="I172" s="17" t="s">
        <v>1515</v>
      </c>
      <c r="J172" s="17" t="s">
        <v>4069</v>
      </c>
      <c r="K172" s="17" t="s">
        <v>1514</v>
      </c>
      <c r="L172" s="17" t="s">
        <v>1509</v>
      </c>
    </row>
    <row r="173" spans="1:12" ht="24" x14ac:dyDescent="0.25">
      <c r="A173" s="18" t="s">
        <v>310</v>
      </c>
      <c r="B173" s="19" t="s">
        <v>311</v>
      </c>
      <c r="C173" s="18" t="s">
        <v>1559</v>
      </c>
      <c r="D173" s="19" t="s">
        <v>1561</v>
      </c>
      <c r="E173" s="18" t="s">
        <v>148</v>
      </c>
      <c r="F173" s="18" t="s">
        <v>84</v>
      </c>
      <c r="G173" s="18" t="s">
        <v>495</v>
      </c>
      <c r="H173" s="18" t="s">
        <v>496</v>
      </c>
      <c r="I173" s="19" t="s">
        <v>1571</v>
      </c>
      <c r="J173" s="19" t="s">
        <v>4099</v>
      </c>
      <c r="K173" s="19" t="s">
        <v>1570</v>
      </c>
      <c r="L173" s="19" t="s">
        <v>1564</v>
      </c>
    </row>
    <row r="174" spans="1:12" ht="24" x14ac:dyDescent="0.25">
      <c r="A174" s="16" t="s">
        <v>310</v>
      </c>
      <c r="B174" s="17" t="s">
        <v>311</v>
      </c>
      <c r="C174" s="16" t="s">
        <v>1893</v>
      </c>
      <c r="D174" s="17" t="s">
        <v>1895</v>
      </c>
      <c r="E174" s="16" t="s">
        <v>164</v>
      </c>
      <c r="F174" s="16" t="s">
        <v>79</v>
      </c>
      <c r="G174" s="16" t="s">
        <v>495</v>
      </c>
      <c r="H174" s="16" t="s">
        <v>678</v>
      </c>
      <c r="I174" s="17" t="s">
        <v>1904</v>
      </c>
      <c r="J174" s="17" t="s">
        <v>4100</v>
      </c>
      <c r="K174" s="17" t="s">
        <v>1903</v>
      </c>
      <c r="L174" s="17" t="s">
        <v>1897</v>
      </c>
    </row>
    <row r="175" spans="1:12" ht="24" x14ac:dyDescent="0.25">
      <c r="A175" s="18" t="s">
        <v>310</v>
      </c>
      <c r="B175" s="19" t="s">
        <v>311</v>
      </c>
      <c r="C175" s="18" t="s">
        <v>1905</v>
      </c>
      <c r="D175" s="19" t="s">
        <v>1906</v>
      </c>
      <c r="E175" s="18" t="s">
        <v>164</v>
      </c>
      <c r="F175" s="18" t="s">
        <v>84</v>
      </c>
      <c r="G175" s="18" t="s">
        <v>495</v>
      </c>
      <c r="H175" s="18" t="s">
        <v>678</v>
      </c>
      <c r="I175" s="19" t="s">
        <v>1914</v>
      </c>
      <c r="J175" s="19" t="s">
        <v>4101</v>
      </c>
      <c r="K175" s="19" t="s">
        <v>1913</v>
      </c>
      <c r="L175" s="19" t="s">
        <v>1908</v>
      </c>
    </row>
    <row r="176" spans="1:12" ht="24" x14ac:dyDescent="0.25">
      <c r="A176" s="16" t="s">
        <v>310</v>
      </c>
      <c r="B176" s="17" t="s">
        <v>311</v>
      </c>
      <c r="C176" s="16" t="s">
        <v>1915</v>
      </c>
      <c r="D176" s="17" t="s">
        <v>1916</v>
      </c>
      <c r="E176" s="16" t="s">
        <v>164</v>
      </c>
      <c r="F176" s="16" t="s">
        <v>79</v>
      </c>
      <c r="G176" s="16" t="s">
        <v>619</v>
      </c>
      <c r="H176" s="16" t="s">
        <v>678</v>
      </c>
      <c r="I176" s="17" t="s">
        <v>1926</v>
      </c>
      <c r="J176" s="17" t="s">
        <v>4102</v>
      </c>
      <c r="K176" s="17" t="s">
        <v>1925</v>
      </c>
      <c r="L176" s="17" t="s">
        <v>1919</v>
      </c>
    </row>
    <row r="177" spans="1:12" ht="24" x14ac:dyDescent="0.25">
      <c r="A177" s="18" t="s">
        <v>310</v>
      </c>
      <c r="B177" s="19" t="s">
        <v>311</v>
      </c>
      <c r="C177" s="18" t="s">
        <v>1927</v>
      </c>
      <c r="D177" s="19" t="s">
        <v>1928</v>
      </c>
      <c r="E177" s="18" t="s">
        <v>164</v>
      </c>
      <c r="F177" s="18" t="s">
        <v>84</v>
      </c>
      <c r="G177" s="18" t="s">
        <v>619</v>
      </c>
      <c r="H177" s="18" t="s">
        <v>678</v>
      </c>
      <c r="I177" s="19" t="s">
        <v>1937</v>
      </c>
      <c r="J177" s="19" t="s">
        <v>4103</v>
      </c>
      <c r="K177" s="19" t="s">
        <v>1936</v>
      </c>
      <c r="L177" s="19" t="s">
        <v>1931</v>
      </c>
    </row>
    <row r="178" spans="1:12" ht="24" x14ac:dyDescent="0.25">
      <c r="A178" s="16" t="s">
        <v>310</v>
      </c>
      <c r="B178" s="17" t="s">
        <v>311</v>
      </c>
      <c r="C178" s="16" t="s">
        <v>1938</v>
      </c>
      <c r="D178" s="17" t="s">
        <v>1940</v>
      </c>
      <c r="E178" s="16" t="s">
        <v>167</v>
      </c>
      <c r="F178" s="16" t="s">
        <v>90</v>
      </c>
      <c r="G178" s="16" t="s">
        <v>495</v>
      </c>
      <c r="H178" s="16" t="s">
        <v>496</v>
      </c>
      <c r="I178" s="17" t="s">
        <v>1950</v>
      </c>
      <c r="J178" s="17" t="s">
        <v>3982</v>
      </c>
      <c r="K178" s="17" t="s">
        <v>1949</v>
      </c>
      <c r="L178" s="17" t="s">
        <v>1942</v>
      </c>
    </row>
    <row r="179" spans="1:12" ht="24" x14ac:dyDescent="0.25">
      <c r="A179" s="18" t="s">
        <v>310</v>
      </c>
      <c r="B179" s="19" t="s">
        <v>311</v>
      </c>
      <c r="C179" s="18" t="s">
        <v>1951</v>
      </c>
      <c r="D179" s="19" t="s">
        <v>1952</v>
      </c>
      <c r="E179" s="18" t="s">
        <v>167</v>
      </c>
      <c r="F179" s="18" t="s">
        <v>90</v>
      </c>
      <c r="G179" s="18" t="s">
        <v>495</v>
      </c>
      <c r="H179" s="18" t="s">
        <v>496</v>
      </c>
      <c r="I179" s="19" t="s">
        <v>1961</v>
      </c>
      <c r="J179" s="19" t="s">
        <v>4029</v>
      </c>
      <c r="K179" s="19" t="s">
        <v>1960</v>
      </c>
      <c r="L179" s="19" t="s">
        <v>1954</v>
      </c>
    </row>
    <row r="180" spans="1:12" ht="24" x14ac:dyDescent="0.25">
      <c r="A180" s="16" t="s">
        <v>310</v>
      </c>
      <c r="B180" s="17" t="s">
        <v>311</v>
      </c>
      <c r="C180" s="16" t="s">
        <v>1962</v>
      </c>
      <c r="D180" s="17" t="s">
        <v>1963</v>
      </c>
      <c r="E180" s="16" t="s">
        <v>167</v>
      </c>
      <c r="F180" s="16" t="s">
        <v>90</v>
      </c>
      <c r="G180" s="16" t="s">
        <v>495</v>
      </c>
      <c r="H180" s="16" t="s">
        <v>496</v>
      </c>
      <c r="I180" s="17" t="s">
        <v>1972</v>
      </c>
      <c r="J180" s="17" t="s">
        <v>4104</v>
      </c>
      <c r="K180" s="17" t="s">
        <v>1971</v>
      </c>
      <c r="L180" s="17" t="s">
        <v>1965</v>
      </c>
    </row>
    <row r="181" spans="1:12" ht="24" x14ac:dyDescent="0.25">
      <c r="A181" s="18" t="s">
        <v>310</v>
      </c>
      <c r="B181" s="19" t="s">
        <v>311</v>
      </c>
      <c r="C181" s="18" t="s">
        <v>1973</v>
      </c>
      <c r="D181" s="19" t="s">
        <v>1974</v>
      </c>
      <c r="E181" s="18" t="s">
        <v>167</v>
      </c>
      <c r="F181" s="18" t="s">
        <v>90</v>
      </c>
      <c r="G181" s="18" t="s">
        <v>619</v>
      </c>
      <c r="H181" s="18" t="s">
        <v>496</v>
      </c>
      <c r="I181" s="19" t="s">
        <v>1983</v>
      </c>
      <c r="J181" s="19" t="s">
        <v>4013</v>
      </c>
      <c r="K181" s="19" t="s">
        <v>1982</v>
      </c>
      <c r="L181" s="19" t="s">
        <v>1976</v>
      </c>
    </row>
    <row r="182" spans="1:12" ht="24" x14ac:dyDescent="0.25">
      <c r="A182" s="16" t="s">
        <v>310</v>
      </c>
      <c r="B182" s="17" t="s">
        <v>311</v>
      </c>
      <c r="C182" s="16" t="s">
        <v>1984</v>
      </c>
      <c r="D182" s="17" t="s">
        <v>1985</v>
      </c>
      <c r="E182" s="16" t="s">
        <v>167</v>
      </c>
      <c r="F182" s="16" t="s">
        <v>73</v>
      </c>
      <c r="G182" s="16" t="s">
        <v>619</v>
      </c>
      <c r="H182" s="16" t="s">
        <v>678</v>
      </c>
      <c r="I182" s="17" t="s">
        <v>1995</v>
      </c>
      <c r="J182" s="17" t="s">
        <v>4074</v>
      </c>
      <c r="K182" s="17" t="s">
        <v>1994</v>
      </c>
      <c r="L182" s="17" t="s">
        <v>1988</v>
      </c>
    </row>
    <row r="183" spans="1:12" ht="24" x14ac:dyDescent="0.25">
      <c r="A183" s="18" t="s">
        <v>317</v>
      </c>
      <c r="B183" s="19" t="s">
        <v>318</v>
      </c>
      <c r="C183" s="18" t="s">
        <v>1159</v>
      </c>
      <c r="D183" s="19" t="s">
        <v>1160</v>
      </c>
      <c r="E183" s="18" t="s">
        <v>127</v>
      </c>
      <c r="F183" s="18" t="s">
        <v>79</v>
      </c>
      <c r="G183" s="18" t="s">
        <v>495</v>
      </c>
      <c r="H183" s="18" t="s">
        <v>496</v>
      </c>
      <c r="I183" s="19" t="s">
        <v>1169</v>
      </c>
      <c r="J183" s="19" t="s">
        <v>4025</v>
      </c>
      <c r="K183" s="19" t="s">
        <v>1168</v>
      </c>
      <c r="L183" s="19" t="s">
        <v>1162</v>
      </c>
    </row>
    <row r="184" spans="1:12" x14ac:dyDescent="0.25">
      <c r="A184" s="16" t="s">
        <v>317</v>
      </c>
      <c r="B184" s="17" t="s">
        <v>318</v>
      </c>
      <c r="C184" s="16" t="s">
        <v>1170</v>
      </c>
      <c r="D184" s="17" t="s">
        <v>1171</v>
      </c>
      <c r="E184" s="16" t="s">
        <v>127</v>
      </c>
      <c r="F184" s="16" t="s">
        <v>79</v>
      </c>
      <c r="G184" s="16" t="s">
        <v>713</v>
      </c>
      <c r="H184" s="16" t="s">
        <v>1178</v>
      </c>
      <c r="I184" s="17" t="s">
        <v>1180</v>
      </c>
      <c r="J184" s="17" t="s">
        <v>4026</v>
      </c>
      <c r="K184" s="17" t="s">
        <v>1179</v>
      </c>
      <c r="L184" s="17" t="s">
        <v>1173</v>
      </c>
    </row>
    <row r="185" spans="1:12" x14ac:dyDescent="0.25">
      <c r="A185" s="18" t="s">
        <v>317</v>
      </c>
      <c r="B185" s="19" t="s">
        <v>318</v>
      </c>
      <c r="C185" s="18" t="s">
        <v>1258</v>
      </c>
      <c r="D185" s="19" t="s">
        <v>1259</v>
      </c>
      <c r="E185" s="18" t="s">
        <v>130</v>
      </c>
      <c r="F185" s="18" t="s">
        <v>79</v>
      </c>
      <c r="G185" s="18" t="s">
        <v>495</v>
      </c>
      <c r="H185" s="18" t="s">
        <v>678</v>
      </c>
      <c r="I185" s="19" t="s">
        <v>1269</v>
      </c>
      <c r="J185" s="19" t="s">
        <v>4037</v>
      </c>
      <c r="K185" s="19" t="s">
        <v>1268</v>
      </c>
      <c r="L185" s="19" t="s">
        <v>1262</v>
      </c>
    </row>
    <row r="186" spans="1:12" x14ac:dyDescent="0.25">
      <c r="A186" s="16" t="s">
        <v>317</v>
      </c>
      <c r="B186" s="17" t="s">
        <v>318</v>
      </c>
      <c r="C186" s="16" t="s">
        <v>1516</v>
      </c>
      <c r="D186" s="17" t="s">
        <v>1518</v>
      </c>
      <c r="E186" s="16" t="s">
        <v>145</v>
      </c>
      <c r="F186" s="16" t="s">
        <v>84</v>
      </c>
      <c r="G186" s="16" t="s">
        <v>495</v>
      </c>
      <c r="H186" s="16" t="s">
        <v>496</v>
      </c>
      <c r="I186" s="17" t="s">
        <v>1526</v>
      </c>
      <c r="J186" s="17" t="s">
        <v>4105</v>
      </c>
      <c r="K186" s="17" t="s">
        <v>1525</v>
      </c>
      <c r="L186" s="17" t="s">
        <v>1520</v>
      </c>
    </row>
    <row r="187" spans="1:12" ht="24" x14ac:dyDescent="0.25">
      <c r="A187" s="18" t="s">
        <v>317</v>
      </c>
      <c r="B187" s="19" t="s">
        <v>318</v>
      </c>
      <c r="C187" s="18" t="s">
        <v>1527</v>
      </c>
      <c r="D187" s="19" t="s">
        <v>1528</v>
      </c>
      <c r="E187" s="18" t="s">
        <v>145</v>
      </c>
      <c r="F187" s="18" t="s">
        <v>79</v>
      </c>
      <c r="G187" s="18" t="s">
        <v>495</v>
      </c>
      <c r="H187" s="18" t="s">
        <v>496</v>
      </c>
      <c r="I187" s="19" t="s">
        <v>1537</v>
      </c>
      <c r="J187" s="19" t="s">
        <v>4106</v>
      </c>
      <c r="K187" s="19" t="s">
        <v>1536</v>
      </c>
      <c r="L187" s="19" t="s">
        <v>1531</v>
      </c>
    </row>
    <row r="188" spans="1:12" x14ac:dyDescent="0.25">
      <c r="A188" s="16" t="s">
        <v>317</v>
      </c>
      <c r="B188" s="17" t="s">
        <v>318</v>
      </c>
      <c r="C188" s="16" t="s">
        <v>1538</v>
      </c>
      <c r="D188" s="17" t="s">
        <v>1539</v>
      </c>
      <c r="E188" s="16" t="s">
        <v>145</v>
      </c>
      <c r="F188" s="16" t="s">
        <v>79</v>
      </c>
      <c r="G188" s="16" t="s">
        <v>619</v>
      </c>
      <c r="H188" s="16" t="s">
        <v>678</v>
      </c>
      <c r="I188" s="17" t="s">
        <v>1548</v>
      </c>
      <c r="J188" s="17" t="s">
        <v>4044</v>
      </c>
      <c r="K188" s="17" t="s">
        <v>1547</v>
      </c>
      <c r="L188" s="17" t="s">
        <v>1541</v>
      </c>
    </row>
    <row r="189" spans="1:12" x14ac:dyDescent="0.25">
      <c r="A189" s="18" t="s">
        <v>317</v>
      </c>
      <c r="B189" s="19" t="s">
        <v>318</v>
      </c>
      <c r="C189" s="18" t="s">
        <v>1549</v>
      </c>
      <c r="D189" s="19" t="s">
        <v>1550</v>
      </c>
      <c r="E189" s="18" t="s">
        <v>145</v>
      </c>
      <c r="F189" s="18" t="s">
        <v>79</v>
      </c>
      <c r="G189" s="18" t="s">
        <v>619</v>
      </c>
      <c r="H189" s="18" t="s">
        <v>496</v>
      </c>
      <c r="I189" s="19" t="s">
        <v>1558</v>
      </c>
      <c r="J189" s="19" t="s">
        <v>4107</v>
      </c>
      <c r="K189" s="19" t="s">
        <v>1557</v>
      </c>
      <c r="L189" s="19" t="s">
        <v>1552</v>
      </c>
    </row>
    <row r="190" spans="1:12" ht="24" x14ac:dyDescent="0.25">
      <c r="A190" s="16" t="s">
        <v>317</v>
      </c>
      <c r="B190" s="17" t="s">
        <v>318</v>
      </c>
      <c r="C190" s="16" t="s">
        <v>1559</v>
      </c>
      <c r="D190" s="17" t="s">
        <v>1561</v>
      </c>
      <c r="E190" s="16" t="s">
        <v>148</v>
      </c>
      <c r="F190" s="16" t="s">
        <v>84</v>
      </c>
      <c r="G190" s="16" t="s">
        <v>495</v>
      </c>
      <c r="H190" s="16" t="s">
        <v>496</v>
      </c>
      <c r="I190" s="17" t="s">
        <v>1571</v>
      </c>
      <c r="J190" s="17" t="s">
        <v>4099</v>
      </c>
      <c r="K190" s="17" t="s">
        <v>1570</v>
      </c>
      <c r="L190" s="17" t="s">
        <v>1564</v>
      </c>
    </row>
    <row r="191" spans="1:12" ht="24" x14ac:dyDescent="0.25">
      <c r="A191" s="18" t="s">
        <v>317</v>
      </c>
      <c r="B191" s="19" t="s">
        <v>318</v>
      </c>
      <c r="C191" s="18" t="s">
        <v>1573</v>
      </c>
      <c r="D191" s="19" t="s">
        <v>1574</v>
      </c>
      <c r="E191" s="18" t="s">
        <v>148</v>
      </c>
      <c r="F191" s="18" t="s">
        <v>84</v>
      </c>
      <c r="G191" s="18" t="s">
        <v>495</v>
      </c>
      <c r="H191" s="18" t="s">
        <v>496</v>
      </c>
      <c r="I191" s="19" t="s">
        <v>1583</v>
      </c>
      <c r="J191" s="19" t="s">
        <v>4096</v>
      </c>
      <c r="K191" s="19" t="s">
        <v>1582</v>
      </c>
      <c r="L191" s="19" t="s">
        <v>1564</v>
      </c>
    </row>
    <row r="192" spans="1:12" ht="24" x14ac:dyDescent="0.25">
      <c r="A192" s="16" t="s">
        <v>317</v>
      </c>
      <c r="B192" s="17" t="s">
        <v>318</v>
      </c>
      <c r="C192" s="16" t="s">
        <v>1584</v>
      </c>
      <c r="D192" s="17" t="s">
        <v>1585</v>
      </c>
      <c r="E192" s="16" t="s">
        <v>148</v>
      </c>
      <c r="F192" s="16" t="s">
        <v>84</v>
      </c>
      <c r="G192" s="16" t="s">
        <v>619</v>
      </c>
      <c r="H192" s="16" t="s">
        <v>678</v>
      </c>
      <c r="I192" s="17" t="s">
        <v>1596</v>
      </c>
      <c r="J192" s="17" t="s">
        <v>4086</v>
      </c>
      <c r="K192" s="17" t="s">
        <v>1595</v>
      </c>
      <c r="L192" s="17" t="s">
        <v>1588</v>
      </c>
    </row>
    <row r="193" spans="1:12" ht="24" x14ac:dyDescent="0.25">
      <c r="A193" s="18" t="s">
        <v>317</v>
      </c>
      <c r="B193" s="19" t="s">
        <v>318</v>
      </c>
      <c r="C193" s="18" t="s">
        <v>1597</v>
      </c>
      <c r="D193" s="19" t="s">
        <v>1598</v>
      </c>
      <c r="E193" s="18" t="s">
        <v>148</v>
      </c>
      <c r="F193" s="18" t="s">
        <v>79</v>
      </c>
      <c r="G193" s="18" t="s">
        <v>619</v>
      </c>
      <c r="H193" s="18" t="s">
        <v>678</v>
      </c>
      <c r="I193" s="19" t="s">
        <v>1609</v>
      </c>
      <c r="J193" s="19" t="s">
        <v>4048</v>
      </c>
      <c r="K193" s="19" t="s">
        <v>1608</v>
      </c>
      <c r="L193" s="19" t="s">
        <v>1601</v>
      </c>
    </row>
    <row r="194" spans="1:12" ht="24" x14ac:dyDescent="0.25">
      <c r="A194" s="16" t="s">
        <v>317</v>
      </c>
      <c r="B194" s="17" t="s">
        <v>318</v>
      </c>
      <c r="C194" s="16" t="s">
        <v>1610</v>
      </c>
      <c r="D194" s="17" t="s">
        <v>1611</v>
      </c>
      <c r="E194" s="16" t="s">
        <v>148</v>
      </c>
      <c r="F194" s="16" t="s">
        <v>73</v>
      </c>
      <c r="G194" s="16" t="s">
        <v>495</v>
      </c>
      <c r="H194" s="16" t="s">
        <v>496</v>
      </c>
      <c r="I194" s="17" t="s">
        <v>1620</v>
      </c>
      <c r="J194" s="17" t="s">
        <v>3981</v>
      </c>
      <c r="K194" s="17" t="s">
        <v>1619</v>
      </c>
      <c r="L194" s="17" t="s">
        <v>1613</v>
      </c>
    </row>
    <row r="195" spans="1:12" ht="24" x14ac:dyDescent="0.25">
      <c r="A195" s="18" t="s">
        <v>317</v>
      </c>
      <c r="B195" s="19" t="s">
        <v>318</v>
      </c>
      <c r="C195" s="18" t="s">
        <v>1621</v>
      </c>
      <c r="D195" s="19" t="s">
        <v>1622</v>
      </c>
      <c r="E195" s="18" t="s">
        <v>148</v>
      </c>
      <c r="F195" s="18" t="s">
        <v>84</v>
      </c>
      <c r="G195" s="18" t="s">
        <v>619</v>
      </c>
      <c r="H195" s="18" t="s">
        <v>678</v>
      </c>
      <c r="I195" s="19" t="s">
        <v>1633</v>
      </c>
      <c r="J195" s="19" t="s">
        <v>4045</v>
      </c>
      <c r="K195" s="19" t="s">
        <v>1632</v>
      </c>
      <c r="L195" s="19" t="s">
        <v>1625</v>
      </c>
    </row>
  </sheetData>
  <autoFilter ref="A3:L195" xr:uid="{00000000-0009-0000-0000-00000B000000}"/>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5597"/>
    <pageSetUpPr fitToPage="1"/>
  </sheetPr>
  <dimension ref="A1:AA50"/>
  <sheetViews>
    <sheetView showGridLines="0" zoomScale="90" zoomScaleNormal="90" workbookViewId="0">
      <pane xSplit="1" ySplit="3" topLeftCell="B12" activePane="bottomRight" state="frozen"/>
      <selection pane="topRight" activeCell="B1" sqref="B1"/>
      <selection pane="bottomLeft" activeCell="A4" sqref="A4"/>
      <selection pane="bottomRight" activeCell="E4" sqref="E4"/>
    </sheetView>
  </sheetViews>
  <sheetFormatPr baseColWidth="10" defaultColWidth="8.7109375" defaultRowHeight="15" x14ac:dyDescent="0.25"/>
  <cols>
    <col min="1" max="1" width="10" customWidth="1"/>
    <col min="2" max="2" width="28" customWidth="1"/>
    <col min="3" max="3" width="13" customWidth="1"/>
    <col min="4" max="4" width="14" customWidth="1"/>
    <col min="5" max="5" width="78.42578125" customWidth="1"/>
    <col min="6" max="27" width="6.140625" customWidth="1"/>
  </cols>
  <sheetData>
    <row r="1" spans="1:27" ht="18" x14ac:dyDescent="0.25">
      <c r="A1" s="9" t="s">
        <v>4108</v>
      </c>
    </row>
    <row r="2" spans="1:27" x14ac:dyDescent="0.25">
      <c r="A2" s="10" t="s">
        <v>4109</v>
      </c>
    </row>
    <row r="3" spans="1:27" ht="63.75" customHeight="1" x14ac:dyDescent="0.25">
      <c r="A3" s="11" t="s">
        <v>4110</v>
      </c>
      <c r="B3" s="11" t="s">
        <v>4111</v>
      </c>
      <c r="C3" s="11" t="s">
        <v>4112</v>
      </c>
      <c r="D3" s="11" t="s">
        <v>4113</v>
      </c>
      <c r="E3" s="11" t="s">
        <v>4114</v>
      </c>
      <c r="F3" s="27" t="s">
        <v>72</v>
      </c>
      <c r="G3" s="28" t="s">
        <v>103</v>
      </c>
      <c r="H3" s="28" t="s">
        <v>107</v>
      </c>
      <c r="I3" s="28" t="s">
        <v>111</v>
      </c>
      <c r="J3" s="28" t="s">
        <v>114</v>
      </c>
      <c r="K3" s="28" t="s">
        <v>117</v>
      </c>
      <c r="L3" s="28" t="s">
        <v>120</v>
      </c>
      <c r="M3" s="28" t="s">
        <v>124</v>
      </c>
      <c r="N3" s="28" t="s">
        <v>127</v>
      </c>
      <c r="O3" s="28" t="s">
        <v>130</v>
      </c>
      <c r="P3" s="28" t="s">
        <v>133</v>
      </c>
      <c r="Q3" s="28" t="s">
        <v>136</v>
      </c>
      <c r="R3" s="28" t="s">
        <v>139</v>
      </c>
      <c r="S3" s="28" t="s">
        <v>142</v>
      </c>
      <c r="T3" s="28" t="s">
        <v>145</v>
      </c>
      <c r="U3" s="28" t="s">
        <v>148</v>
      </c>
      <c r="V3" s="28" t="s">
        <v>151</v>
      </c>
      <c r="W3" s="28" t="s">
        <v>154</v>
      </c>
      <c r="X3" s="28" t="s">
        <v>157</v>
      </c>
      <c r="Y3" s="28" t="s">
        <v>160</v>
      </c>
      <c r="Z3" s="28" t="s">
        <v>164</v>
      </c>
      <c r="AA3" s="28" t="s">
        <v>167</v>
      </c>
    </row>
    <row r="4" spans="1:27" ht="36" x14ac:dyDescent="0.25">
      <c r="A4" s="16" t="s">
        <v>4115</v>
      </c>
      <c r="B4" s="17" t="s">
        <v>4116</v>
      </c>
      <c r="C4" s="16" t="s">
        <v>4117</v>
      </c>
      <c r="D4" s="16" t="s">
        <v>4118</v>
      </c>
      <c r="E4" s="17" t="s">
        <v>4119</v>
      </c>
      <c r="F4" s="16">
        <f>SUMPRODUCT(--ISNUMBER(SEARCH(A4,RF!$P$4:$P$141)))</f>
        <v>22</v>
      </c>
      <c r="G4" s="16" t="s">
        <v>3960</v>
      </c>
      <c r="H4" s="16" t="s">
        <v>3960</v>
      </c>
      <c r="I4" s="16"/>
      <c r="J4" s="16"/>
      <c r="K4" s="16" t="s">
        <v>3960</v>
      </c>
      <c r="L4" s="16" t="s">
        <v>3960</v>
      </c>
      <c r="M4" s="16" t="s">
        <v>3960</v>
      </c>
      <c r="N4" s="16"/>
      <c r="O4" s="16" t="s">
        <v>3960</v>
      </c>
      <c r="P4" s="16"/>
      <c r="Q4" s="16"/>
      <c r="R4" s="16"/>
      <c r="S4" s="16"/>
      <c r="T4" s="16"/>
      <c r="U4" s="16" t="s">
        <v>3960</v>
      </c>
      <c r="V4" s="16"/>
      <c r="W4" s="16" t="s">
        <v>3960</v>
      </c>
      <c r="X4" s="16" t="s">
        <v>3960</v>
      </c>
      <c r="Y4" s="16"/>
      <c r="Z4" s="16"/>
      <c r="AA4" s="16" t="s">
        <v>3960</v>
      </c>
    </row>
    <row r="5" spans="1:27" ht="54" customHeight="1" x14ac:dyDescent="0.25">
      <c r="A5" s="16" t="s">
        <v>620</v>
      </c>
      <c r="B5" s="17" t="s">
        <v>3733</v>
      </c>
      <c r="C5" s="16" t="s">
        <v>4117</v>
      </c>
      <c r="D5" s="16" t="s">
        <v>4118</v>
      </c>
      <c r="E5" s="17" t="s">
        <v>4120</v>
      </c>
      <c r="F5" s="16">
        <f>SUMPRODUCT(--ISNUMBER(SEARCH(A5,RF!$P$4:$P$141)))</f>
        <v>32</v>
      </c>
      <c r="G5" s="16" t="s">
        <v>3960</v>
      </c>
      <c r="H5" s="16" t="s">
        <v>3960</v>
      </c>
      <c r="I5" s="16"/>
      <c r="J5" s="16" t="s">
        <v>3960</v>
      </c>
      <c r="K5" s="16"/>
      <c r="L5" s="16"/>
      <c r="M5" s="16"/>
      <c r="N5" s="16" t="s">
        <v>3960</v>
      </c>
      <c r="O5" s="16" t="s">
        <v>3960</v>
      </c>
      <c r="P5" s="16"/>
      <c r="Q5" s="16" t="s">
        <v>3960</v>
      </c>
      <c r="R5" s="16" t="s">
        <v>3960</v>
      </c>
      <c r="S5" s="16" t="s">
        <v>3960</v>
      </c>
      <c r="T5" s="16" t="s">
        <v>3960</v>
      </c>
      <c r="U5" s="16"/>
      <c r="V5" s="16"/>
      <c r="W5" s="16"/>
      <c r="X5" s="16"/>
      <c r="Y5" s="16" t="s">
        <v>3960</v>
      </c>
      <c r="Z5" s="16" t="s">
        <v>3960</v>
      </c>
      <c r="AA5" s="16" t="s">
        <v>3960</v>
      </c>
    </row>
    <row r="6" spans="1:27" ht="40.5" customHeight="1" x14ac:dyDescent="0.25">
      <c r="A6" s="16" t="s">
        <v>748</v>
      </c>
      <c r="B6" s="17" t="s">
        <v>4121</v>
      </c>
      <c r="C6" s="16" t="s">
        <v>4117</v>
      </c>
      <c r="D6" s="16" t="s">
        <v>4118</v>
      </c>
      <c r="E6" s="17" t="s">
        <v>4122</v>
      </c>
      <c r="F6" s="16">
        <f>SUMPRODUCT(--ISNUMBER(SEARCH(A6,RF!$P$4:$P$141)))</f>
        <v>20</v>
      </c>
      <c r="G6" s="16" t="s">
        <v>3960</v>
      </c>
      <c r="H6" s="16"/>
      <c r="I6" s="16" t="s">
        <v>3960</v>
      </c>
      <c r="J6" s="16"/>
      <c r="K6" s="16"/>
      <c r="L6" s="16" t="s">
        <v>3960</v>
      </c>
      <c r="M6" s="16"/>
      <c r="N6" s="16" t="s">
        <v>3960</v>
      </c>
      <c r="O6" s="16"/>
      <c r="P6" s="16"/>
      <c r="Q6" s="16"/>
      <c r="R6" s="16" t="s">
        <v>3960</v>
      </c>
      <c r="S6" s="16"/>
      <c r="T6" s="16"/>
      <c r="U6" s="16"/>
      <c r="V6" s="16"/>
      <c r="W6" s="16"/>
      <c r="X6" s="16" t="s">
        <v>3960</v>
      </c>
      <c r="Y6" s="16"/>
      <c r="Z6" s="16"/>
      <c r="AA6" s="16" t="s">
        <v>3960</v>
      </c>
    </row>
    <row r="7" spans="1:27" ht="27" customHeight="1" x14ac:dyDescent="0.25">
      <c r="A7" s="16" t="s">
        <v>830</v>
      </c>
      <c r="B7" s="17" t="s">
        <v>4123</v>
      </c>
      <c r="C7" s="16" t="s">
        <v>4117</v>
      </c>
      <c r="D7" s="16" t="s">
        <v>4118</v>
      </c>
      <c r="E7" s="17" t="s">
        <v>4124</v>
      </c>
      <c r="F7" s="16">
        <f>SUMPRODUCT(--ISNUMBER(SEARCH(A7,RF!$P$4:$P$141)))</f>
        <v>13</v>
      </c>
      <c r="G7" s="16" t="s">
        <v>3960</v>
      </c>
      <c r="H7" s="16" t="s">
        <v>3960</v>
      </c>
      <c r="I7" s="16" t="s">
        <v>3960</v>
      </c>
      <c r="J7" s="16" t="s">
        <v>3960</v>
      </c>
      <c r="K7" s="16"/>
      <c r="L7" s="16"/>
      <c r="M7" s="16"/>
      <c r="N7" s="16" t="s">
        <v>3960</v>
      </c>
      <c r="O7" s="16"/>
      <c r="P7" s="16"/>
      <c r="Q7" s="16"/>
      <c r="R7" s="16"/>
      <c r="S7" s="16"/>
      <c r="T7" s="16"/>
      <c r="U7" s="16" t="s">
        <v>3960</v>
      </c>
      <c r="V7" s="16"/>
      <c r="W7" s="16" t="s">
        <v>3960</v>
      </c>
      <c r="X7" s="16"/>
      <c r="Y7" s="16"/>
      <c r="Z7" s="16"/>
      <c r="AA7" s="16" t="s">
        <v>3960</v>
      </c>
    </row>
    <row r="8" spans="1:27" ht="27" customHeight="1" x14ac:dyDescent="0.25">
      <c r="A8" s="16" t="s">
        <v>872</v>
      </c>
      <c r="B8" s="17" t="s">
        <v>4125</v>
      </c>
      <c r="C8" s="16" t="s">
        <v>4117</v>
      </c>
      <c r="D8" s="16" t="s">
        <v>4118</v>
      </c>
      <c r="E8" s="17" t="s">
        <v>4126</v>
      </c>
      <c r="F8" s="16">
        <f>SUMPRODUCT(--ISNUMBER(SEARCH(A8,RF!$P$4:$P$141)))</f>
        <v>11</v>
      </c>
      <c r="G8" s="16" t="s">
        <v>3960</v>
      </c>
      <c r="H8" s="16"/>
      <c r="I8" s="16"/>
      <c r="J8" s="16"/>
      <c r="K8" s="16" t="s">
        <v>3960</v>
      </c>
      <c r="L8" s="16"/>
      <c r="M8" s="16"/>
      <c r="N8" s="16" t="s">
        <v>3960</v>
      </c>
      <c r="O8" s="16"/>
      <c r="P8" s="16"/>
      <c r="Q8" s="16"/>
      <c r="R8" s="16" t="s">
        <v>3960</v>
      </c>
      <c r="S8" s="16"/>
      <c r="T8" s="16"/>
      <c r="U8" s="16"/>
      <c r="V8" s="16"/>
      <c r="W8" s="16"/>
      <c r="X8" s="16"/>
      <c r="Y8" s="16"/>
      <c r="Z8" s="16"/>
      <c r="AA8" s="16" t="s">
        <v>3960</v>
      </c>
    </row>
    <row r="9" spans="1:27" ht="40.5" customHeight="1" x14ac:dyDescent="0.25">
      <c r="A9" s="16" t="s">
        <v>4127</v>
      </c>
      <c r="B9" s="17" t="s">
        <v>4128</v>
      </c>
      <c r="C9" s="16" t="s">
        <v>4117</v>
      </c>
      <c r="D9" s="16" t="s">
        <v>4118</v>
      </c>
      <c r="E9" s="17" t="s">
        <v>4129</v>
      </c>
      <c r="F9" s="16">
        <f>SUMPRODUCT(--ISNUMBER(SEARCH(A9,RF!$P$4:$P$141)))</f>
        <v>15</v>
      </c>
      <c r="G9" s="16"/>
      <c r="H9" s="16"/>
      <c r="I9" s="16"/>
      <c r="J9" s="16"/>
      <c r="K9" s="16"/>
      <c r="L9" s="16" t="s">
        <v>3960</v>
      </c>
      <c r="M9" s="16" t="s">
        <v>3960</v>
      </c>
      <c r="N9" s="16"/>
      <c r="O9" s="16"/>
      <c r="P9" s="16" t="s">
        <v>3960</v>
      </c>
      <c r="Q9" s="16"/>
      <c r="R9" s="16" t="s">
        <v>3960</v>
      </c>
      <c r="S9" s="16"/>
      <c r="T9" s="16"/>
      <c r="U9" s="16"/>
      <c r="V9" s="16"/>
      <c r="W9" s="16"/>
      <c r="X9" s="16" t="s">
        <v>3960</v>
      </c>
      <c r="Y9" s="16" t="s">
        <v>3960</v>
      </c>
      <c r="Z9" s="16"/>
      <c r="AA9" s="16"/>
    </row>
    <row r="10" spans="1:27" ht="40.5" customHeight="1" x14ac:dyDescent="0.25">
      <c r="A10" s="16" t="s">
        <v>961</v>
      </c>
      <c r="B10" s="17" t="s">
        <v>4130</v>
      </c>
      <c r="C10" s="16" t="s">
        <v>4117</v>
      </c>
      <c r="D10" s="16" t="s">
        <v>4118</v>
      </c>
      <c r="E10" s="17" t="s">
        <v>4131</v>
      </c>
      <c r="F10" s="16">
        <f>SUMPRODUCT(--ISNUMBER(SEARCH(A10,RF!$P$4:$P$141)))</f>
        <v>12</v>
      </c>
      <c r="G10" s="16" t="s">
        <v>3960</v>
      </c>
      <c r="H10" s="16"/>
      <c r="I10" s="16"/>
      <c r="J10" s="16"/>
      <c r="K10" s="16"/>
      <c r="L10" s="16" t="s">
        <v>3960</v>
      </c>
      <c r="M10" s="16" t="s">
        <v>3960</v>
      </c>
      <c r="N10" s="16" t="s">
        <v>3960</v>
      </c>
      <c r="O10" s="16"/>
      <c r="P10" s="16"/>
      <c r="Q10" s="16"/>
      <c r="R10" s="16"/>
      <c r="S10" s="16"/>
      <c r="T10" s="16"/>
      <c r="U10" s="16"/>
      <c r="V10" s="16"/>
      <c r="W10" s="16"/>
      <c r="X10" s="16"/>
      <c r="Y10" s="16"/>
      <c r="Z10" s="16"/>
      <c r="AA10" s="16"/>
    </row>
    <row r="11" spans="1:27" ht="40.5" customHeight="1" x14ac:dyDescent="0.25">
      <c r="A11" s="16" t="s">
        <v>4132</v>
      </c>
      <c r="B11" s="17" t="s">
        <v>4133</v>
      </c>
      <c r="C11" s="16" t="s">
        <v>4117</v>
      </c>
      <c r="D11" s="16" t="s">
        <v>4118</v>
      </c>
      <c r="E11" s="17" t="s">
        <v>4134</v>
      </c>
      <c r="F11" s="16">
        <f>SUMPRODUCT(--ISNUMBER(SEARCH(A11,RF!$P$4:$P$141)))</f>
        <v>16</v>
      </c>
      <c r="G11" s="16"/>
      <c r="H11" s="16"/>
      <c r="I11" s="16"/>
      <c r="J11" s="16"/>
      <c r="K11" s="16"/>
      <c r="L11" s="16"/>
      <c r="M11" s="16"/>
      <c r="N11" s="16" t="s">
        <v>3960</v>
      </c>
      <c r="O11" s="16" t="s">
        <v>3960</v>
      </c>
      <c r="P11" s="16"/>
      <c r="Q11" s="16"/>
      <c r="R11" s="16"/>
      <c r="S11" s="16"/>
      <c r="T11" s="16"/>
      <c r="U11" s="16"/>
      <c r="V11" s="16"/>
      <c r="W11" s="16"/>
      <c r="X11" s="16"/>
      <c r="Y11" s="16" t="s">
        <v>3960</v>
      </c>
      <c r="Z11" s="16"/>
      <c r="AA11" s="16" t="s">
        <v>3960</v>
      </c>
    </row>
    <row r="12" spans="1:27" ht="54" customHeight="1" x14ac:dyDescent="0.25">
      <c r="A12" s="16" t="s">
        <v>4135</v>
      </c>
      <c r="B12" s="17" t="s">
        <v>4136</v>
      </c>
      <c r="C12" s="16" t="s">
        <v>4117</v>
      </c>
      <c r="D12" s="16" t="s">
        <v>4137</v>
      </c>
      <c r="E12" s="17" t="s">
        <v>4138</v>
      </c>
      <c r="F12" s="16">
        <f>SUMPRODUCT(--ISNUMBER(SEARCH(A12,RF!$P$4:$P$141)))</f>
        <v>10</v>
      </c>
      <c r="G12" s="16"/>
      <c r="H12" s="16"/>
      <c r="I12" s="16"/>
      <c r="J12" s="16"/>
      <c r="K12" s="16"/>
      <c r="L12" s="16"/>
      <c r="M12" s="16"/>
      <c r="N12" s="16"/>
      <c r="O12" s="16" t="s">
        <v>3960</v>
      </c>
      <c r="P12" s="16"/>
      <c r="Q12" s="16"/>
      <c r="R12" s="16"/>
      <c r="S12" s="16"/>
      <c r="T12" s="16"/>
      <c r="U12" s="16" t="s">
        <v>3960</v>
      </c>
      <c r="V12" s="16"/>
      <c r="W12" s="16"/>
      <c r="X12" s="16"/>
      <c r="Y12" s="16"/>
      <c r="Z12" s="16"/>
      <c r="AA12" s="16"/>
    </row>
    <row r="13" spans="1:27" ht="40.5" customHeight="1" x14ac:dyDescent="0.25">
      <c r="A13" s="16" t="s">
        <v>1291</v>
      </c>
      <c r="B13" s="17" t="s">
        <v>4139</v>
      </c>
      <c r="C13" s="16" t="s">
        <v>4117</v>
      </c>
      <c r="D13" s="16" t="s">
        <v>4118</v>
      </c>
      <c r="E13" s="17" t="s">
        <v>4140</v>
      </c>
      <c r="F13" s="16">
        <f>SUMPRODUCT(--ISNUMBER(SEARCH(A13,RF!$P$4:$P$141)))</f>
        <v>37</v>
      </c>
      <c r="G13" s="16" t="s">
        <v>3960</v>
      </c>
      <c r="H13" s="16" t="s">
        <v>3960</v>
      </c>
      <c r="I13" s="16"/>
      <c r="J13" s="16"/>
      <c r="K13" s="16"/>
      <c r="L13" s="16"/>
      <c r="M13" s="16" t="s">
        <v>3960</v>
      </c>
      <c r="N13" s="16" t="s">
        <v>3960</v>
      </c>
      <c r="O13" s="16" t="s">
        <v>3960</v>
      </c>
      <c r="P13" s="16" t="s">
        <v>3960</v>
      </c>
      <c r="Q13" s="16"/>
      <c r="R13" s="16" t="s">
        <v>3960</v>
      </c>
      <c r="S13" s="16"/>
      <c r="T13" s="16" t="s">
        <v>3960</v>
      </c>
      <c r="U13" s="16" t="s">
        <v>3960</v>
      </c>
      <c r="V13" s="16" t="s">
        <v>3960</v>
      </c>
      <c r="W13" s="16" t="s">
        <v>3960</v>
      </c>
      <c r="X13" s="16" t="s">
        <v>3960</v>
      </c>
      <c r="Y13" s="16" t="s">
        <v>3960</v>
      </c>
      <c r="Z13" s="16" t="s">
        <v>3960</v>
      </c>
      <c r="AA13" s="16"/>
    </row>
    <row r="14" spans="1:27" ht="27" customHeight="1" x14ac:dyDescent="0.25">
      <c r="A14" s="16" t="s">
        <v>4141</v>
      </c>
      <c r="B14" s="17" t="s">
        <v>4142</v>
      </c>
      <c r="C14" s="16" t="s">
        <v>4117</v>
      </c>
      <c r="D14" s="16" t="s">
        <v>4118</v>
      </c>
      <c r="E14" s="17" t="s">
        <v>4143</v>
      </c>
      <c r="F14" s="16">
        <f>SUMPRODUCT(--ISNUMBER(SEARCH(A14,RF!$P$4:$P$141)))</f>
        <v>23</v>
      </c>
      <c r="G14" s="16"/>
      <c r="H14" s="16"/>
      <c r="I14" s="16" t="s">
        <v>3960</v>
      </c>
      <c r="J14" s="16"/>
      <c r="K14" s="16"/>
      <c r="L14" s="16" t="s">
        <v>3960</v>
      </c>
      <c r="M14" s="16"/>
      <c r="N14" s="16" t="s">
        <v>3960</v>
      </c>
      <c r="O14" s="16" t="s">
        <v>3960</v>
      </c>
      <c r="P14" s="16"/>
      <c r="Q14" s="16" t="s">
        <v>3960</v>
      </c>
      <c r="R14" s="16" t="s">
        <v>3960</v>
      </c>
      <c r="S14" s="16"/>
      <c r="T14" s="16" t="s">
        <v>3960</v>
      </c>
      <c r="U14" s="16" t="s">
        <v>3960</v>
      </c>
      <c r="V14" s="16"/>
      <c r="W14" s="16" t="s">
        <v>3960</v>
      </c>
      <c r="X14" s="16" t="s">
        <v>3960</v>
      </c>
      <c r="Y14" s="16"/>
      <c r="Z14" s="16"/>
      <c r="AA14" s="16"/>
    </row>
    <row r="15" spans="1:27" ht="40.5" customHeight="1" x14ac:dyDescent="0.25">
      <c r="A15" s="16" t="s">
        <v>1398</v>
      </c>
      <c r="B15" s="17" t="s">
        <v>4144</v>
      </c>
      <c r="C15" s="16" t="s">
        <v>4117</v>
      </c>
      <c r="D15" s="16" t="s">
        <v>4118</v>
      </c>
      <c r="E15" s="17" t="s">
        <v>4145</v>
      </c>
      <c r="F15" s="16">
        <f>SUMPRODUCT(--ISNUMBER(SEARCH(A15,RF!$P$4:$P$141)))</f>
        <v>46</v>
      </c>
      <c r="G15" s="16" t="s">
        <v>3960</v>
      </c>
      <c r="H15" s="16" t="s">
        <v>3960</v>
      </c>
      <c r="I15" s="16" t="s">
        <v>3960</v>
      </c>
      <c r="J15" s="16" t="s">
        <v>3960</v>
      </c>
      <c r="K15" s="16" t="s">
        <v>3960</v>
      </c>
      <c r="L15" s="16" t="s">
        <v>3960</v>
      </c>
      <c r="M15" s="16" t="s">
        <v>3960</v>
      </c>
      <c r="N15" s="16" t="s">
        <v>3960</v>
      </c>
      <c r="O15" s="16" t="s">
        <v>3960</v>
      </c>
      <c r="P15" s="16"/>
      <c r="Q15" s="16" t="s">
        <v>3960</v>
      </c>
      <c r="R15" s="16" t="s">
        <v>3960</v>
      </c>
      <c r="S15" s="16" t="s">
        <v>3960</v>
      </c>
      <c r="T15" s="16" t="s">
        <v>3960</v>
      </c>
      <c r="U15" s="16" t="s">
        <v>3960</v>
      </c>
      <c r="V15" s="16"/>
      <c r="W15" s="16"/>
      <c r="X15" s="16"/>
      <c r="Y15" s="16" t="s">
        <v>3960</v>
      </c>
      <c r="Z15" s="16" t="s">
        <v>3960</v>
      </c>
      <c r="AA15" s="16"/>
    </row>
    <row r="16" spans="1:27" ht="40.5" customHeight="1" x14ac:dyDescent="0.25">
      <c r="A16" s="16" t="s">
        <v>1481</v>
      </c>
      <c r="B16" s="17" t="s">
        <v>4146</v>
      </c>
      <c r="C16" s="16" t="s">
        <v>4117</v>
      </c>
      <c r="D16" s="16" t="s">
        <v>4147</v>
      </c>
      <c r="E16" s="17" t="s">
        <v>4148</v>
      </c>
      <c r="F16" s="16">
        <f>SUMPRODUCT(--ISNUMBER(SEARCH(A16,RF!$P$4:$P$141)))</f>
        <v>38</v>
      </c>
      <c r="G16" s="16" t="s">
        <v>3960</v>
      </c>
      <c r="H16" s="16" t="s">
        <v>3960</v>
      </c>
      <c r="I16" s="16" t="s">
        <v>3960</v>
      </c>
      <c r="J16" s="16" t="s">
        <v>3960</v>
      </c>
      <c r="K16" s="16"/>
      <c r="L16" s="16" t="s">
        <v>3960</v>
      </c>
      <c r="M16" s="16"/>
      <c r="N16" s="16" t="s">
        <v>3960</v>
      </c>
      <c r="O16" s="16" t="s">
        <v>3960</v>
      </c>
      <c r="P16" s="16"/>
      <c r="Q16" s="16" t="s">
        <v>3960</v>
      </c>
      <c r="R16" s="16" t="s">
        <v>3960</v>
      </c>
      <c r="S16" s="16" t="s">
        <v>3960</v>
      </c>
      <c r="T16" s="16"/>
      <c r="U16" s="16"/>
      <c r="V16" s="16" t="s">
        <v>3960</v>
      </c>
      <c r="W16" s="16"/>
      <c r="X16" s="16" t="s">
        <v>3960</v>
      </c>
      <c r="Y16" s="16" t="s">
        <v>3960</v>
      </c>
      <c r="Z16" s="16" t="s">
        <v>3960</v>
      </c>
      <c r="AA16" s="16" t="s">
        <v>3960</v>
      </c>
    </row>
    <row r="17" spans="1:27" ht="27" customHeight="1" x14ac:dyDescent="0.25">
      <c r="A17" s="16" t="s">
        <v>4149</v>
      </c>
      <c r="B17" s="17" t="s">
        <v>4150</v>
      </c>
      <c r="C17" s="16" t="s">
        <v>4117</v>
      </c>
      <c r="D17" s="16" t="s">
        <v>4118</v>
      </c>
      <c r="E17" s="17" t="s">
        <v>4151</v>
      </c>
      <c r="F17" s="16">
        <f>SUMPRODUCT(--ISNUMBER(SEARCH(A17,RF!$P$4:$P$141)))</f>
        <v>10</v>
      </c>
      <c r="G17" s="16"/>
      <c r="H17" s="16" t="s">
        <v>3960</v>
      </c>
      <c r="I17" s="16"/>
      <c r="J17" s="16"/>
      <c r="K17" s="16"/>
      <c r="L17" s="16"/>
      <c r="M17" s="16"/>
      <c r="N17" s="16" t="s">
        <v>3960</v>
      </c>
      <c r="O17" s="16" t="s">
        <v>3960</v>
      </c>
      <c r="P17" s="16"/>
      <c r="Q17" s="16"/>
      <c r="R17" s="16" t="s">
        <v>3960</v>
      </c>
      <c r="S17" s="16"/>
      <c r="T17" s="16" t="s">
        <v>3960</v>
      </c>
      <c r="U17" s="16"/>
      <c r="V17" s="16"/>
      <c r="W17" s="16"/>
      <c r="X17" s="16"/>
      <c r="Y17" s="16"/>
      <c r="Z17" s="16"/>
      <c r="AA17" s="16"/>
    </row>
    <row r="18" spans="1:27" ht="40.5" customHeight="1" x14ac:dyDescent="0.25">
      <c r="A18" s="16" t="s">
        <v>4152</v>
      </c>
      <c r="B18" s="17" t="s">
        <v>4153</v>
      </c>
      <c r="C18" s="16" t="s">
        <v>4117</v>
      </c>
      <c r="D18" s="16" t="s">
        <v>4118</v>
      </c>
      <c r="E18" s="17" t="s">
        <v>4154</v>
      </c>
      <c r="F18" s="16">
        <f>SUMPRODUCT(--ISNUMBER(SEARCH(A18,RF!$P$4:$P$141)))</f>
        <v>7</v>
      </c>
      <c r="G18" s="16"/>
      <c r="H18" s="16"/>
      <c r="I18" s="16"/>
      <c r="J18" s="16"/>
      <c r="K18" s="16"/>
      <c r="L18" s="16"/>
      <c r="M18" s="16"/>
      <c r="N18" s="16"/>
      <c r="O18" s="16"/>
      <c r="P18" s="16"/>
      <c r="Q18" s="16"/>
      <c r="R18" s="16"/>
      <c r="S18" s="16"/>
      <c r="T18" s="16"/>
      <c r="U18" s="16" t="s">
        <v>3960</v>
      </c>
      <c r="V18" s="16"/>
      <c r="W18" s="16" t="s">
        <v>3960</v>
      </c>
      <c r="X18" s="16"/>
      <c r="Y18" s="16"/>
      <c r="Z18" s="16"/>
      <c r="AA18" s="16"/>
    </row>
    <row r="19" spans="1:27" ht="40.5" customHeight="1" x14ac:dyDescent="0.25">
      <c r="A19" s="16" t="s">
        <v>1652</v>
      </c>
      <c r="B19" s="17" t="s">
        <v>4155</v>
      </c>
      <c r="C19" s="16" t="s">
        <v>4117</v>
      </c>
      <c r="D19" s="16" t="s">
        <v>4156</v>
      </c>
      <c r="E19" s="17" t="s">
        <v>4157</v>
      </c>
      <c r="F19" s="16">
        <f>SUMPRODUCT(--ISNUMBER(SEARCH(A19,RF!$P$4:$P$141)))</f>
        <v>18</v>
      </c>
      <c r="G19" s="16"/>
      <c r="H19" s="16" t="s">
        <v>3960</v>
      </c>
      <c r="I19" s="16"/>
      <c r="J19" s="16"/>
      <c r="K19" s="16"/>
      <c r="L19" s="16"/>
      <c r="M19" s="16"/>
      <c r="N19" s="16" t="s">
        <v>3960</v>
      </c>
      <c r="O19" s="16"/>
      <c r="P19" s="16" t="s">
        <v>3960</v>
      </c>
      <c r="Q19" s="16"/>
      <c r="R19" s="16" t="s">
        <v>3960</v>
      </c>
      <c r="S19" s="16" t="s">
        <v>3960</v>
      </c>
      <c r="T19" s="16" t="s">
        <v>3960</v>
      </c>
      <c r="U19" s="16" t="s">
        <v>3960</v>
      </c>
      <c r="V19" s="16" t="s">
        <v>3960</v>
      </c>
      <c r="W19" s="16" t="s">
        <v>3960</v>
      </c>
      <c r="X19" s="16"/>
      <c r="Y19" s="16"/>
      <c r="Z19" s="16" t="s">
        <v>3960</v>
      </c>
      <c r="AA19" s="16" t="s">
        <v>3960</v>
      </c>
    </row>
    <row r="20" spans="1:27" ht="40.5" customHeight="1" x14ac:dyDescent="0.25">
      <c r="A20" s="16" t="s">
        <v>4158</v>
      </c>
      <c r="B20" s="17" t="s">
        <v>4159</v>
      </c>
      <c r="C20" s="16" t="s">
        <v>4117</v>
      </c>
      <c r="D20" s="16" t="s">
        <v>4160</v>
      </c>
      <c r="E20" s="17" t="s">
        <v>4161</v>
      </c>
      <c r="F20" s="16">
        <f>SUMPRODUCT(--ISNUMBER(SEARCH(A20,RF!$P$4:$P$141)))</f>
        <v>13</v>
      </c>
      <c r="G20" s="16"/>
      <c r="H20" s="16" t="s">
        <v>3960</v>
      </c>
      <c r="I20" s="16"/>
      <c r="J20" s="16"/>
      <c r="K20" s="16"/>
      <c r="L20" s="16"/>
      <c r="M20" s="16"/>
      <c r="N20" s="16" t="s">
        <v>3960</v>
      </c>
      <c r="O20" s="16"/>
      <c r="P20" s="16"/>
      <c r="Q20" s="16"/>
      <c r="R20" s="16"/>
      <c r="S20" s="16"/>
      <c r="T20" s="16"/>
      <c r="U20" s="16"/>
      <c r="V20" s="16" t="s">
        <v>3960</v>
      </c>
      <c r="W20" s="16" t="s">
        <v>3960</v>
      </c>
      <c r="X20" s="16"/>
      <c r="Y20" s="16"/>
      <c r="Z20" s="16"/>
      <c r="AA20" s="16" t="s">
        <v>3960</v>
      </c>
    </row>
    <row r="21" spans="1:27" ht="40.5" customHeight="1" x14ac:dyDescent="0.25">
      <c r="A21" s="16" t="s">
        <v>4162</v>
      </c>
      <c r="B21" s="17" t="s">
        <v>4163</v>
      </c>
      <c r="C21" s="16" t="s">
        <v>4117</v>
      </c>
      <c r="D21" s="16" t="s">
        <v>4160</v>
      </c>
      <c r="E21" s="17" t="s">
        <v>4164</v>
      </c>
      <c r="F21" s="16">
        <f>SUMPRODUCT(--ISNUMBER(SEARCH(A21,RF!$P$4:$P$141)))</f>
        <v>6</v>
      </c>
      <c r="G21" s="16"/>
      <c r="H21" s="16"/>
      <c r="I21" s="16"/>
      <c r="J21" s="16"/>
      <c r="K21" s="16"/>
      <c r="L21" s="16"/>
      <c r="M21" s="16"/>
      <c r="N21" s="16"/>
      <c r="O21" s="16"/>
      <c r="P21" s="16"/>
      <c r="Q21" s="16"/>
      <c r="R21" s="16"/>
      <c r="S21" s="16"/>
      <c r="T21" s="16"/>
      <c r="U21" s="16"/>
      <c r="V21" s="16"/>
      <c r="W21" s="16"/>
      <c r="X21" s="16" t="s">
        <v>3960</v>
      </c>
      <c r="Y21" s="16"/>
      <c r="Z21" s="16"/>
      <c r="AA21" s="16"/>
    </row>
    <row r="22" spans="1:27" ht="27" customHeight="1" x14ac:dyDescent="0.25">
      <c r="A22" s="16" t="s">
        <v>4165</v>
      </c>
      <c r="B22" s="17" t="s">
        <v>4166</v>
      </c>
      <c r="C22" s="16" t="s">
        <v>4117</v>
      </c>
      <c r="D22" s="16" t="s">
        <v>4160</v>
      </c>
      <c r="E22" s="17" t="s">
        <v>4167</v>
      </c>
      <c r="F22" s="16">
        <f>SUMPRODUCT(--ISNUMBER(SEARCH(A22,RF!$P$4:$P$141)))</f>
        <v>10</v>
      </c>
      <c r="G22" s="16"/>
      <c r="H22" s="16"/>
      <c r="I22" s="16"/>
      <c r="J22" s="16"/>
      <c r="K22" s="16"/>
      <c r="L22" s="16"/>
      <c r="M22" s="16" t="s">
        <v>3960</v>
      </c>
      <c r="N22" s="16" t="s">
        <v>3960</v>
      </c>
      <c r="O22" s="16" t="s">
        <v>3960</v>
      </c>
      <c r="P22" s="16" t="s">
        <v>3960</v>
      </c>
      <c r="Q22" s="16"/>
      <c r="R22" s="16" t="s">
        <v>3960</v>
      </c>
      <c r="S22" s="16"/>
      <c r="T22" s="16"/>
      <c r="U22" s="16"/>
      <c r="V22" s="16"/>
      <c r="W22" s="16"/>
      <c r="X22" s="16"/>
      <c r="Y22" s="16" t="s">
        <v>3960</v>
      </c>
      <c r="Z22" s="16"/>
      <c r="AA22" s="16"/>
    </row>
    <row r="23" spans="1:27" ht="40.5" customHeight="1" x14ac:dyDescent="0.25">
      <c r="A23" s="16" t="s">
        <v>4168</v>
      </c>
      <c r="B23" s="17" t="s">
        <v>4169</v>
      </c>
      <c r="C23" s="16" t="s">
        <v>4117</v>
      </c>
      <c r="D23" s="16" t="s">
        <v>4137</v>
      </c>
      <c r="E23" s="17" t="s">
        <v>4170</v>
      </c>
      <c r="F23" s="16">
        <f>SUMPRODUCT(--ISNUMBER(SEARCH(A23,RF!$P$4:$P$141)))</f>
        <v>5</v>
      </c>
      <c r="G23" s="16"/>
      <c r="H23" s="16"/>
      <c r="I23" s="16"/>
      <c r="J23" s="16"/>
      <c r="K23" s="16"/>
      <c r="L23" s="16"/>
      <c r="M23" s="16"/>
      <c r="N23" s="16"/>
      <c r="O23" s="16"/>
      <c r="P23" s="16"/>
      <c r="Q23" s="16"/>
      <c r="R23" s="16"/>
      <c r="S23" s="16"/>
      <c r="T23" s="16"/>
      <c r="U23" s="16"/>
      <c r="V23" s="16"/>
      <c r="W23" s="16" t="s">
        <v>3960</v>
      </c>
      <c r="X23" s="16"/>
      <c r="Y23" s="16"/>
      <c r="Z23" s="16" t="s">
        <v>3960</v>
      </c>
      <c r="AA23" s="16"/>
    </row>
    <row r="24" spans="1:27" ht="40.5" customHeight="1" x14ac:dyDescent="0.25">
      <c r="A24" s="16" t="s">
        <v>4171</v>
      </c>
      <c r="B24" s="17" t="s">
        <v>91</v>
      </c>
      <c r="C24" s="16" t="s">
        <v>4117</v>
      </c>
      <c r="D24" s="16" t="s">
        <v>4118</v>
      </c>
      <c r="E24" s="17" t="s">
        <v>4172</v>
      </c>
      <c r="F24" s="16">
        <f>SUMPRODUCT(--ISNUMBER(SEARCH(A24,RF!$P$4:$P$141)))</f>
        <v>8</v>
      </c>
      <c r="G24" s="16"/>
      <c r="H24" s="16"/>
      <c r="I24" s="16"/>
      <c r="J24" s="16"/>
      <c r="K24" s="16" t="s">
        <v>3960</v>
      </c>
      <c r="L24" s="16"/>
      <c r="M24" s="16"/>
      <c r="N24" s="16" t="s">
        <v>3960</v>
      </c>
      <c r="O24" s="16"/>
      <c r="P24" s="16"/>
      <c r="Q24" s="16"/>
      <c r="R24" s="16"/>
      <c r="S24" s="16"/>
      <c r="T24" s="16"/>
      <c r="U24" s="16"/>
      <c r="V24" s="16" t="s">
        <v>3960</v>
      </c>
      <c r="W24" s="16"/>
      <c r="X24" s="16"/>
      <c r="Y24" s="16"/>
      <c r="Z24" s="16"/>
      <c r="AA24" s="16" t="s">
        <v>3960</v>
      </c>
    </row>
    <row r="25" spans="1:27" ht="15" customHeight="1" x14ac:dyDescent="0.25">
      <c r="A25" s="25" t="s">
        <v>4173</v>
      </c>
      <c r="B25" s="26" t="s">
        <v>4174</v>
      </c>
      <c r="C25" s="25"/>
      <c r="D25" s="25"/>
      <c r="E25" s="26" t="s">
        <v>4175</v>
      </c>
      <c r="F25" s="25">
        <f>SUMPRODUCT(--ISNUMBER(SEARCH(A25,RF!$P$4:$P$141)))</f>
        <v>0</v>
      </c>
      <c r="G25" s="25"/>
      <c r="H25" s="25"/>
      <c r="I25" s="25"/>
      <c r="J25" s="25"/>
      <c r="K25" s="25"/>
      <c r="L25" s="25"/>
      <c r="M25" s="25"/>
      <c r="N25" s="25"/>
      <c r="O25" s="25"/>
      <c r="P25" s="25"/>
      <c r="Q25" s="25"/>
      <c r="R25" s="25"/>
      <c r="S25" s="25"/>
      <c r="T25" s="25"/>
      <c r="U25" s="25"/>
      <c r="V25" s="25"/>
      <c r="W25" s="25"/>
      <c r="X25" s="25"/>
      <c r="Y25" s="25"/>
      <c r="Z25" s="25"/>
      <c r="AA25" s="25"/>
    </row>
    <row r="26" spans="1:27" ht="15" customHeight="1" x14ac:dyDescent="0.25">
      <c r="A26" s="25" t="s">
        <v>4176</v>
      </c>
      <c r="B26" s="26" t="s">
        <v>4177</v>
      </c>
      <c r="C26" s="25"/>
      <c r="D26" s="25"/>
      <c r="E26" s="26" t="s">
        <v>4175</v>
      </c>
      <c r="F26" s="25">
        <f>SUMPRODUCT(--ISNUMBER(SEARCH(A26,RF!$P$4:$P$141)))</f>
        <v>0</v>
      </c>
      <c r="G26" s="25"/>
      <c r="H26" s="25"/>
      <c r="I26" s="25"/>
      <c r="J26" s="25"/>
      <c r="K26" s="25"/>
      <c r="L26" s="25"/>
      <c r="M26" s="25"/>
      <c r="N26" s="25"/>
      <c r="O26" s="25"/>
      <c r="P26" s="25"/>
      <c r="Q26" s="25"/>
      <c r="R26" s="25"/>
      <c r="S26" s="25"/>
      <c r="T26" s="25"/>
      <c r="U26" s="25"/>
      <c r="V26" s="25"/>
      <c r="W26" s="25"/>
      <c r="X26" s="25"/>
      <c r="Y26" s="25"/>
      <c r="Z26" s="25"/>
      <c r="AA26" s="25"/>
    </row>
    <row r="27" spans="1:27" ht="15" customHeight="1" x14ac:dyDescent="0.25">
      <c r="A27" s="25" t="s">
        <v>4178</v>
      </c>
      <c r="B27" s="26" t="s">
        <v>4179</v>
      </c>
      <c r="C27" s="25"/>
      <c r="D27" s="25"/>
      <c r="E27" s="26" t="s">
        <v>4175</v>
      </c>
      <c r="F27" s="25">
        <f>SUMPRODUCT(--ISNUMBER(SEARCH(A27,RF!$P$4:$P$141)))</f>
        <v>0</v>
      </c>
      <c r="G27" s="25"/>
      <c r="H27" s="25"/>
      <c r="I27" s="25"/>
      <c r="J27" s="25"/>
      <c r="K27" s="25"/>
      <c r="L27" s="25"/>
      <c r="M27" s="25"/>
      <c r="N27" s="25"/>
      <c r="O27" s="25"/>
      <c r="P27" s="25"/>
      <c r="Q27" s="25"/>
      <c r="R27" s="25"/>
      <c r="S27" s="25"/>
      <c r="T27" s="25"/>
      <c r="U27" s="25"/>
      <c r="V27" s="25"/>
      <c r="W27" s="25"/>
      <c r="X27" s="25"/>
      <c r="Y27" s="25"/>
      <c r="Z27" s="25"/>
      <c r="AA27" s="25"/>
    </row>
    <row r="29" spans="1:27" x14ac:dyDescent="0.25">
      <c r="A29" s="3" t="s">
        <v>4180</v>
      </c>
    </row>
    <row r="30" spans="1:27" x14ac:dyDescent="0.25">
      <c r="A30" s="23" t="s">
        <v>103</v>
      </c>
      <c r="B30" s="23" t="s">
        <v>104</v>
      </c>
    </row>
    <row r="31" spans="1:27" x14ac:dyDescent="0.25">
      <c r="A31" s="23" t="s">
        <v>107</v>
      </c>
      <c r="B31" s="23" t="s">
        <v>108</v>
      </c>
    </row>
    <row r="32" spans="1:27" x14ac:dyDescent="0.25">
      <c r="A32" s="23" t="s">
        <v>111</v>
      </c>
      <c r="B32" s="23" t="s">
        <v>112</v>
      </c>
    </row>
    <row r="33" spans="1:2" x14ac:dyDescent="0.25">
      <c r="A33" s="23" t="s">
        <v>114</v>
      </c>
      <c r="B33" s="23" t="s">
        <v>115</v>
      </c>
    </row>
    <row r="34" spans="1:2" x14ac:dyDescent="0.25">
      <c r="A34" s="23" t="s">
        <v>117</v>
      </c>
      <c r="B34" s="23" t="s">
        <v>118</v>
      </c>
    </row>
    <row r="35" spans="1:2" x14ac:dyDescent="0.25">
      <c r="A35" s="23" t="s">
        <v>120</v>
      </c>
      <c r="B35" s="23" t="s">
        <v>121</v>
      </c>
    </row>
    <row r="36" spans="1:2" x14ac:dyDescent="0.25">
      <c r="A36" s="23" t="s">
        <v>124</v>
      </c>
      <c r="B36" s="23" t="s">
        <v>125</v>
      </c>
    </row>
    <row r="37" spans="1:2" x14ac:dyDescent="0.25">
      <c r="A37" s="23" t="s">
        <v>127</v>
      </c>
      <c r="B37" s="23" t="s">
        <v>128</v>
      </c>
    </row>
    <row r="38" spans="1:2" x14ac:dyDescent="0.25">
      <c r="A38" s="23" t="s">
        <v>130</v>
      </c>
      <c r="B38" s="23" t="s">
        <v>131</v>
      </c>
    </row>
    <row r="39" spans="1:2" x14ac:dyDescent="0.25">
      <c r="A39" s="23" t="s">
        <v>133</v>
      </c>
      <c r="B39" s="23" t="s">
        <v>134</v>
      </c>
    </row>
    <row r="40" spans="1:2" x14ac:dyDescent="0.25">
      <c r="A40" s="23" t="s">
        <v>136</v>
      </c>
      <c r="B40" s="23" t="s">
        <v>137</v>
      </c>
    </row>
    <row r="41" spans="1:2" x14ac:dyDescent="0.25">
      <c r="A41" s="23" t="s">
        <v>139</v>
      </c>
      <c r="B41" s="23" t="s">
        <v>140</v>
      </c>
    </row>
    <row r="42" spans="1:2" x14ac:dyDescent="0.25">
      <c r="A42" s="23" t="s">
        <v>142</v>
      </c>
      <c r="B42" s="23" t="s">
        <v>143</v>
      </c>
    </row>
    <row r="43" spans="1:2" x14ac:dyDescent="0.25">
      <c r="A43" s="23" t="s">
        <v>145</v>
      </c>
      <c r="B43" s="23" t="s">
        <v>146</v>
      </c>
    </row>
    <row r="44" spans="1:2" x14ac:dyDescent="0.25">
      <c r="A44" s="23" t="s">
        <v>148</v>
      </c>
      <c r="B44" s="23" t="s">
        <v>149</v>
      </c>
    </row>
    <row r="45" spans="1:2" x14ac:dyDescent="0.25">
      <c r="A45" s="23" t="s">
        <v>151</v>
      </c>
      <c r="B45" s="23" t="s">
        <v>152</v>
      </c>
    </row>
    <row r="46" spans="1:2" x14ac:dyDescent="0.25">
      <c r="A46" s="23" t="s">
        <v>154</v>
      </c>
      <c r="B46" s="23" t="s">
        <v>155</v>
      </c>
    </row>
    <row r="47" spans="1:2" x14ac:dyDescent="0.25">
      <c r="A47" s="23" t="s">
        <v>157</v>
      </c>
      <c r="B47" s="23" t="s">
        <v>158</v>
      </c>
    </row>
    <row r="48" spans="1:2" x14ac:dyDescent="0.25">
      <c r="A48" s="23" t="s">
        <v>160</v>
      </c>
      <c r="B48" s="23" t="s">
        <v>161</v>
      </c>
    </row>
    <row r="49" spans="1:2" x14ac:dyDescent="0.25">
      <c r="A49" s="23" t="s">
        <v>164</v>
      </c>
      <c r="B49" s="23" t="s">
        <v>165</v>
      </c>
    </row>
    <row r="50" spans="1:2" x14ac:dyDescent="0.25">
      <c r="A50" s="23" t="s">
        <v>167</v>
      </c>
      <c r="B50" s="23" t="s">
        <v>168</v>
      </c>
    </row>
  </sheetData>
  <autoFilter ref="A3:AA27" xr:uid="{00000000-0009-0000-0000-00000C000000}"/>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5597"/>
    <pageSetUpPr fitToPage="1"/>
  </sheetPr>
  <dimension ref="A1:M27"/>
  <sheetViews>
    <sheetView showGridLines="0" zoomScaleNormal="100" workbookViewId="0">
      <pane xSplit="1" ySplit="3" topLeftCell="B4" activePane="bottomRight" state="frozen"/>
      <selection pane="topRight" activeCell="B1" sqref="B1"/>
      <selection pane="bottomLeft" activeCell="A4" sqref="A4"/>
      <selection pane="bottomRight" activeCell="M18" sqref="M18"/>
    </sheetView>
  </sheetViews>
  <sheetFormatPr baseColWidth="10" defaultColWidth="8.7109375" defaultRowHeight="15" x14ac:dyDescent="0.25"/>
  <cols>
    <col min="1" max="1" width="10" customWidth="1"/>
    <col min="2" max="2" width="39.140625" customWidth="1"/>
    <col min="3" max="11" width="7" customWidth="1"/>
    <col min="12" max="12" width="10" customWidth="1"/>
    <col min="13" max="13" width="125.85546875" customWidth="1"/>
  </cols>
  <sheetData>
    <row r="1" spans="1:13" ht="18" x14ac:dyDescent="0.25">
      <c r="A1" s="9" t="s">
        <v>49</v>
      </c>
    </row>
    <row r="2" spans="1:13" x14ac:dyDescent="0.25">
      <c r="A2" s="10" t="s">
        <v>4181</v>
      </c>
    </row>
    <row r="3" spans="1:13" ht="25.5" x14ac:dyDescent="0.25">
      <c r="A3" s="27" t="s">
        <v>4110</v>
      </c>
      <c r="B3" s="27" t="s">
        <v>4111</v>
      </c>
      <c r="C3" s="27" t="s">
        <v>4182</v>
      </c>
      <c r="D3" s="27" t="s">
        <v>4183</v>
      </c>
      <c r="E3" s="27" t="s">
        <v>4184</v>
      </c>
      <c r="F3" s="27" t="s">
        <v>4185</v>
      </c>
      <c r="G3" s="27" t="s">
        <v>4186</v>
      </c>
      <c r="H3" s="27" t="s">
        <v>4187</v>
      </c>
      <c r="I3" s="27" t="s">
        <v>4188</v>
      </c>
      <c r="J3" s="27" t="s">
        <v>4189</v>
      </c>
      <c r="K3" s="27" t="s">
        <v>4190</v>
      </c>
      <c r="L3" s="27" t="s">
        <v>4191</v>
      </c>
      <c r="M3" s="27" t="s">
        <v>4192</v>
      </c>
    </row>
    <row r="4" spans="1:13" x14ac:dyDescent="0.25">
      <c r="A4" s="17" t="s">
        <v>4115</v>
      </c>
      <c r="B4" s="17" t="s">
        <v>4116</v>
      </c>
      <c r="C4" s="16" t="s">
        <v>4193</v>
      </c>
      <c r="D4" s="16" t="s">
        <v>4193</v>
      </c>
      <c r="E4" s="16" t="s">
        <v>4193</v>
      </c>
      <c r="F4" s="16" t="s">
        <v>4193</v>
      </c>
      <c r="G4" s="16" t="s">
        <v>4193</v>
      </c>
      <c r="H4" s="16" t="s">
        <v>4193</v>
      </c>
      <c r="I4" s="16" t="s">
        <v>4193</v>
      </c>
      <c r="J4" s="16" t="s">
        <v>4193</v>
      </c>
      <c r="K4" s="16" t="s">
        <v>4193</v>
      </c>
      <c r="L4" s="16">
        <f t="shared" ref="L4:L27" si="0">COUNTIF(C4:K4,"?")</f>
        <v>9</v>
      </c>
      <c r="M4" s="17" t="s">
        <v>4194</v>
      </c>
    </row>
    <row r="5" spans="1:13" x14ac:dyDescent="0.25">
      <c r="A5" s="17" t="s">
        <v>620</v>
      </c>
      <c r="B5" s="17" t="s">
        <v>3733</v>
      </c>
      <c r="C5" s="16" t="s">
        <v>4195</v>
      </c>
      <c r="D5" s="16" t="s">
        <v>4193</v>
      </c>
      <c r="E5" s="16" t="s">
        <v>4193</v>
      </c>
      <c r="F5" s="16" t="s">
        <v>4193</v>
      </c>
      <c r="G5" s="16" t="s">
        <v>4193</v>
      </c>
      <c r="H5" s="16" t="s">
        <v>4196</v>
      </c>
      <c r="I5" s="16" t="s">
        <v>4195</v>
      </c>
      <c r="J5" s="16" t="s">
        <v>4196</v>
      </c>
      <c r="K5" s="16" t="s">
        <v>4193</v>
      </c>
      <c r="L5" s="16">
        <f t="shared" si="0"/>
        <v>9</v>
      </c>
      <c r="M5" s="17" t="s">
        <v>4197</v>
      </c>
    </row>
    <row r="6" spans="1:13" x14ac:dyDescent="0.25">
      <c r="A6" s="17" t="s">
        <v>748</v>
      </c>
      <c r="B6" s="17" t="s">
        <v>4121</v>
      </c>
      <c r="C6" s="16" t="s">
        <v>4193</v>
      </c>
      <c r="D6" s="16" t="s">
        <v>4193</v>
      </c>
      <c r="E6" s="16" t="s">
        <v>4193</v>
      </c>
      <c r="F6" s="16" t="s">
        <v>4193</v>
      </c>
      <c r="G6" s="16" t="s">
        <v>4193</v>
      </c>
      <c r="H6" s="16" t="s">
        <v>4193</v>
      </c>
      <c r="I6" s="16" t="s">
        <v>4193</v>
      </c>
      <c r="J6" s="16" t="s">
        <v>4193</v>
      </c>
      <c r="K6" s="16" t="s">
        <v>4196</v>
      </c>
      <c r="L6" s="16">
        <f t="shared" si="0"/>
        <v>9</v>
      </c>
      <c r="M6" s="17" t="s">
        <v>4198</v>
      </c>
    </row>
    <row r="7" spans="1:13" x14ac:dyDescent="0.25">
      <c r="A7" s="17" t="s">
        <v>830</v>
      </c>
      <c r="B7" s="17" t="s">
        <v>4123</v>
      </c>
      <c r="C7" s="16" t="s">
        <v>4193</v>
      </c>
      <c r="D7" s="16" t="s">
        <v>4193</v>
      </c>
      <c r="E7" s="16" t="s">
        <v>4193</v>
      </c>
      <c r="F7" s="16" t="s">
        <v>4193</v>
      </c>
      <c r="G7" s="16" t="s">
        <v>4193</v>
      </c>
      <c r="H7" s="16" t="s">
        <v>4193</v>
      </c>
      <c r="I7" s="16" t="s">
        <v>4193</v>
      </c>
      <c r="J7" s="16" t="s">
        <v>4193</v>
      </c>
      <c r="K7" s="16" t="s">
        <v>4193</v>
      </c>
      <c r="L7" s="16">
        <f t="shared" si="0"/>
        <v>9</v>
      </c>
      <c r="M7" s="17" t="s">
        <v>4199</v>
      </c>
    </row>
    <row r="8" spans="1:13" x14ac:dyDescent="0.25">
      <c r="A8" s="17" t="s">
        <v>872</v>
      </c>
      <c r="B8" s="17" t="s">
        <v>4125</v>
      </c>
      <c r="C8" s="16" t="s">
        <v>4193</v>
      </c>
      <c r="D8" s="16" t="s">
        <v>4193</v>
      </c>
      <c r="E8" s="16" t="s">
        <v>4193</v>
      </c>
      <c r="F8" s="16" t="s">
        <v>4193</v>
      </c>
      <c r="G8" s="16" t="s">
        <v>4193</v>
      </c>
      <c r="H8" s="16" t="s">
        <v>4193</v>
      </c>
      <c r="I8" s="16" t="s">
        <v>4193</v>
      </c>
      <c r="J8" s="16" t="s">
        <v>4193</v>
      </c>
      <c r="K8" s="16" t="s">
        <v>4193</v>
      </c>
      <c r="L8" s="16">
        <f t="shared" si="0"/>
        <v>9</v>
      </c>
      <c r="M8" s="17" t="s">
        <v>4200</v>
      </c>
    </row>
    <row r="9" spans="1:13" x14ac:dyDescent="0.25">
      <c r="A9" s="17" t="s">
        <v>4127</v>
      </c>
      <c r="B9" s="17" t="s">
        <v>4128</v>
      </c>
      <c r="C9" s="16" t="s">
        <v>4193</v>
      </c>
      <c r="D9" s="16" t="s">
        <v>4196</v>
      </c>
      <c r="E9" s="16" t="s">
        <v>4193</v>
      </c>
      <c r="F9" s="16" t="s">
        <v>4193</v>
      </c>
      <c r="G9" s="16" t="s">
        <v>4196</v>
      </c>
      <c r="H9" s="16" t="s">
        <v>4196</v>
      </c>
      <c r="I9" s="16" t="s">
        <v>4195</v>
      </c>
      <c r="J9" s="16" t="s">
        <v>4193</v>
      </c>
      <c r="K9" s="16" t="s">
        <v>4193</v>
      </c>
      <c r="L9" s="16">
        <f t="shared" si="0"/>
        <v>9</v>
      </c>
      <c r="M9" s="17" t="s">
        <v>4201</v>
      </c>
    </row>
    <row r="10" spans="1:13" x14ac:dyDescent="0.25">
      <c r="A10" s="17" t="s">
        <v>961</v>
      </c>
      <c r="B10" s="17" t="s">
        <v>4130</v>
      </c>
      <c r="C10" s="16" t="s">
        <v>4193</v>
      </c>
      <c r="D10" s="16" t="s">
        <v>4193</v>
      </c>
      <c r="E10" s="16" t="s">
        <v>4193</v>
      </c>
      <c r="F10" s="16" t="s">
        <v>4193</v>
      </c>
      <c r="G10" s="16" t="s">
        <v>4193</v>
      </c>
      <c r="H10" s="16" t="s">
        <v>4193</v>
      </c>
      <c r="I10" s="16" t="s">
        <v>4193</v>
      </c>
      <c r="J10" s="16" t="s">
        <v>4193</v>
      </c>
      <c r="K10" s="16" t="s">
        <v>4195</v>
      </c>
      <c r="L10" s="16">
        <f t="shared" si="0"/>
        <v>9</v>
      </c>
      <c r="M10" s="17" t="s">
        <v>4202</v>
      </c>
    </row>
    <row r="11" spans="1:13" x14ac:dyDescent="0.25">
      <c r="A11" s="17" t="s">
        <v>4132</v>
      </c>
      <c r="B11" s="17" t="s">
        <v>4133</v>
      </c>
      <c r="C11" s="16" t="s">
        <v>4195</v>
      </c>
      <c r="D11" s="16" t="s">
        <v>4195</v>
      </c>
      <c r="E11" s="16"/>
      <c r="F11" s="16" t="s">
        <v>4195</v>
      </c>
      <c r="G11" s="16" t="s">
        <v>4193</v>
      </c>
      <c r="H11" s="16" t="s">
        <v>4195</v>
      </c>
      <c r="I11" s="16"/>
      <c r="J11" s="16" t="s">
        <v>4193</v>
      </c>
      <c r="K11" s="16" t="s">
        <v>4195</v>
      </c>
      <c r="L11" s="16">
        <f t="shared" si="0"/>
        <v>7</v>
      </c>
      <c r="M11" s="17" t="s">
        <v>4203</v>
      </c>
    </row>
    <row r="12" spans="1:13" x14ac:dyDescent="0.25">
      <c r="A12" s="17" t="s">
        <v>4135</v>
      </c>
      <c r="B12" s="17" t="s">
        <v>4136</v>
      </c>
      <c r="C12" s="16" t="s">
        <v>4195</v>
      </c>
      <c r="D12" s="16" t="s">
        <v>4195</v>
      </c>
      <c r="E12" s="16"/>
      <c r="F12" s="16" t="s">
        <v>4195</v>
      </c>
      <c r="G12" s="16" t="s">
        <v>4195</v>
      </c>
      <c r="H12" s="16" t="s">
        <v>4195</v>
      </c>
      <c r="I12" s="16" t="s">
        <v>4195</v>
      </c>
      <c r="J12" s="16" t="s">
        <v>4195</v>
      </c>
      <c r="K12" s="16" t="s">
        <v>4195</v>
      </c>
      <c r="L12" s="16">
        <f t="shared" si="0"/>
        <v>8</v>
      </c>
      <c r="M12" s="17" t="s">
        <v>4204</v>
      </c>
    </row>
    <row r="13" spans="1:13" x14ac:dyDescent="0.25">
      <c r="A13" s="17" t="s">
        <v>1291</v>
      </c>
      <c r="B13" s="17" t="s">
        <v>4139</v>
      </c>
      <c r="C13" s="16" t="s">
        <v>4193</v>
      </c>
      <c r="D13" s="16" t="s">
        <v>4195</v>
      </c>
      <c r="E13" s="16" t="s">
        <v>4193</v>
      </c>
      <c r="F13" s="16" t="s">
        <v>4193</v>
      </c>
      <c r="G13" s="16" t="s">
        <v>4193</v>
      </c>
      <c r="H13" s="16" t="s">
        <v>4193</v>
      </c>
      <c r="I13" s="16" t="s">
        <v>4193</v>
      </c>
      <c r="J13" s="16" t="s">
        <v>4193</v>
      </c>
      <c r="K13" s="16" t="s">
        <v>4193</v>
      </c>
      <c r="L13" s="16">
        <f t="shared" si="0"/>
        <v>9</v>
      </c>
      <c r="M13" s="17" t="s">
        <v>4205</v>
      </c>
    </row>
    <row r="14" spans="1:13" x14ac:dyDescent="0.25">
      <c r="A14" s="17" t="s">
        <v>4141</v>
      </c>
      <c r="B14" s="17" t="s">
        <v>4142</v>
      </c>
      <c r="C14" s="16" t="s">
        <v>4193</v>
      </c>
      <c r="D14" s="16" t="s">
        <v>4193</v>
      </c>
      <c r="E14" s="16" t="s">
        <v>4193</v>
      </c>
      <c r="F14" s="16" t="s">
        <v>4193</v>
      </c>
      <c r="G14" s="16" t="s">
        <v>4193</v>
      </c>
      <c r="H14" s="16" t="s">
        <v>4193</v>
      </c>
      <c r="I14" s="16" t="s">
        <v>4193</v>
      </c>
      <c r="J14" s="16" t="s">
        <v>4193</v>
      </c>
      <c r="K14" s="16" t="s">
        <v>4193</v>
      </c>
      <c r="L14" s="16">
        <f t="shared" si="0"/>
        <v>9</v>
      </c>
      <c r="M14" s="17" t="s">
        <v>4206</v>
      </c>
    </row>
    <row r="15" spans="1:13" x14ac:dyDescent="0.25">
      <c r="A15" s="17" t="s">
        <v>1398</v>
      </c>
      <c r="B15" s="17" t="s">
        <v>4144</v>
      </c>
      <c r="C15" s="16" t="s">
        <v>4207</v>
      </c>
      <c r="D15" s="16" t="s">
        <v>4207</v>
      </c>
      <c r="E15" s="16" t="s">
        <v>4207</v>
      </c>
      <c r="F15" s="16" t="s">
        <v>4207</v>
      </c>
      <c r="G15" s="16" t="s">
        <v>4207</v>
      </c>
      <c r="H15" s="16" t="s">
        <v>4193</v>
      </c>
      <c r="I15" s="16" t="s">
        <v>4207</v>
      </c>
      <c r="J15" s="16" t="s">
        <v>4207</v>
      </c>
      <c r="K15" s="16" t="s">
        <v>4193</v>
      </c>
      <c r="L15" s="16">
        <f t="shared" si="0"/>
        <v>9</v>
      </c>
      <c r="M15" s="17" t="s">
        <v>4208</v>
      </c>
    </row>
    <row r="16" spans="1:13" x14ac:dyDescent="0.25">
      <c r="A16" s="17" t="s">
        <v>1481</v>
      </c>
      <c r="B16" s="17" t="s">
        <v>4146</v>
      </c>
      <c r="C16" s="16" t="s">
        <v>4207</v>
      </c>
      <c r="D16" s="16" t="s">
        <v>4207</v>
      </c>
      <c r="E16" s="16" t="s">
        <v>4207</v>
      </c>
      <c r="F16" s="16" t="s">
        <v>4207</v>
      </c>
      <c r="G16" s="16" t="s">
        <v>4207</v>
      </c>
      <c r="H16" s="16" t="s">
        <v>4207</v>
      </c>
      <c r="I16" s="16" t="s">
        <v>4207</v>
      </c>
      <c r="J16" s="16" t="s">
        <v>4207</v>
      </c>
      <c r="K16" s="16" t="s">
        <v>4207</v>
      </c>
      <c r="L16" s="16">
        <f t="shared" si="0"/>
        <v>9</v>
      </c>
      <c r="M16" s="17" t="s">
        <v>4209</v>
      </c>
    </row>
    <row r="17" spans="1:13" x14ac:dyDescent="0.25">
      <c r="A17" s="17" t="s">
        <v>4149</v>
      </c>
      <c r="B17" s="17" t="s">
        <v>4150</v>
      </c>
      <c r="C17" s="16" t="s">
        <v>4193</v>
      </c>
      <c r="D17" s="16" t="s">
        <v>4193</v>
      </c>
      <c r="E17" s="16" t="s">
        <v>4196</v>
      </c>
      <c r="F17" s="16" t="s">
        <v>4193</v>
      </c>
      <c r="G17" s="16" t="s">
        <v>4193</v>
      </c>
      <c r="H17" s="16" t="s">
        <v>4193</v>
      </c>
      <c r="I17" s="16" t="s">
        <v>4193</v>
      </c>
      <c r="J17" s="16" t="s">
        <v>4193</v>
      </c>
      <c r="K17" s="16" t="s">
        <v>4193</v>
      </c>
      <c r="L17" s="16">
        <f t="shared" si="0"/>
        <v>9</v>
      </c>
      <c r="M17" s="17" t="s">
        <v>4210</v>
      </c>
    </row>
    <row r="18" spans="1:13" ht="24" x14ac:dyDescent="0.25">
      <c r="A18" s="17" t="s">
        <v>4152</v>
      </c>
      <c r="B18" s="17" t="s">
        <v>4153</v>
      </c>
      <c r="C18" s="16" t="s">
        <v>4193</v>
      </c>
      <c r="D18" s="16" t="s">
        <v>4193</v>
      </c>
      <c r="E18" s="16" t="s">
        <v>4193</v>
      </c>
      <c r="F18" s="16" t="s">
        <v>4193</v>
      </c>
      <c r="G18" s="16" t="s">
        <v>4193</v>
      </c>
      <c r="H18" s="16" t="s">
        <v>4193</v>
      </c>
      <c r="I18" s="16" t="s">
        <v>4193</v>
      </c>
      <c r="J18" s="16" t="s">
        <v>4193</v>
      </c>
      <c r="K18" s="16" t="s">
        <v>4193</v>
      </c>
      <c r="L18" s="16">
        <f t="shared" si="0"/>
        <v>9</v>
      </c>
      <c r="M18" s="17" t="s">
        <v>4211</v>
      </c>
    </row>
    <row r="19" spans="1:13" x14ac:dyDescent="0.25">
      <c r="A19" s="17" t="s">
        <v>1652</v>
      </c>
      <c r="B19" s="17" t="s">
        <v>4155</v>
      </c>
      <c r="C19" s="16" t="s">
        <v>4195</v>
      </c>
      <c r="D19" s="16" t="s">
        <v>4193</v>
      </c>
      <c r="E19" s="16" t="s">
        <v>4193</v>
      </c>
      <c r="F19" s="16" t="s">
        <v>4193</v>
      </c>
      <c r="G19" s="16" t="s">
        <v>4193</v>
      </c>
      <c r="H19" s="16" t="s">
        <v>4193</v>
      </c>
      <c r="I19" s="16" t="s">
        <v>4195</v>
      </c>
      <c r="J19" s="16" t="s">
        <v>4193</v>
      </c>
      <c r="K19" s="16" t="s">
        <v>4193</v>
      </c>
      <c r="L19" s="16">
        <f t="shared" si="0"/>
        <v>9</v>
      </c>
      <c r="M19" s="17" t="s">
        <v>4212</v>
      </c>
    </row>
    <row r="20" spans="1:13" x14ac:dyDescent="0.25">
      <c r="A20" s="17" t="s">
        <v>4158</v>
      </c>
      <c r="B20" s="17" t="s">
        <v>4159</v>
      </c>
      <c r="C20" s="16"/>
      <c r="D20" s="16"/>
      <c r="E20" s="16" t="s">
        <v>4193</v>
      </c>
      <c r="F20" s="16"/>
      <c r="G20" s="16"/>
      <c r="H20" s="16"/>
      <c r="I20" s="16"/>
      <c r="J20" s="16"/>
      <c r="K20" s="16"/>
      <c r="L20" s="16">
        <f t="shared" si="0"/>
        <v>1</v>
      </c>
      <c r="M20" s="17" t="s">
        <v>4213</v>
      </c>
    </row>
    <row r="21" spans="1:13" x14ac:dyDescent="0.25">
      <c r="A21" s="17" t="s">
        <v>4162</v>
      </c>
      <c r="B21" s="17" t="s">
        <v>4163</v>
      </c>
      <c r="C21" s="16" t="s">
        <v>4196</v>
      </c>
      <c r="D21" s="16" t="s">
        <v>4196</v>
      </c>
      <c r="E21" s="16" t="s">
        <v>4196</v>
      </c>
      <c r="F21" s="16" t="s">
        <v>4193</v>
      </c>
      <c r="G21" s="16" t="s">
        <v>4196</v>
      </c>
      <c r="H21" s="16" t="s">
        <v>4196</v>
      </c>
      <c r="I21" s="16" t="s">
        <v>4196</v>
      </c>
      <c r="J21" s="16" t="s">
        <v>4196</v>
      </c>
      <c r="K21" s="16" t="s">
        <v>4196</v>
      </c>
      <c r="L21" s="16">
        <f t="shared" si="0"/>
        <v>9</v>
      </c>
      <c r="M21" s="17" t="s">
        <v>4214</v>
      </c>
    </row>
    <row r="22" spans="1:13" ht="24" x14ac:dyDescent="0.25">
      <c r="A22" s="17" t="s">
        <v>4165</v>
      </c>
      <c r="B22" s="17" t="s">
        <v>4166</v>
      </c>
      <c r="C22" s="16" t="s">
        <v>4193</v>
      </c>
      <c r="D22" s="16" t="s">
        <v>4196</v>
      </c>
      <c r="E22" s="16" t="s">
        <v>4193</v>
      </c>
      <c r="F22" s="16" t="s">
        <v>4193</v>
      </c>
      <c r="G22" s="16" t="s">
        <v>4196</v>
      </c>
      <c r="H22" s="16" t="s">
        <v>4196</v>
      </c>
      <c r="I22" s="16" t="s">
        <v>4196</v>
      </c>
      <c r="J22" s="16" t="s">
        <v>4196</v>
      </c>
      <c r="K22" s="16" t="s">
        <v>4196</v>
      </c>
      <c r="L22" s="16">
        <f t="shared" si="0"/>
        <v>9</v>
      </c>
      <c r="M22" s="17" t="s">
        <v>4215</v>
      </c>
    </row>
    <row r="23" spans="1:13" x14ac:dyDescent="0.25">
      <c r="A23" s="17" t="s">
        <v>4168</v>
      </c>
      <c r="B23" s="17" t="s">
        <v>4169</v>
      </c>
      <c r="C23" s="16"/>
      <c r="D23" s="16" t="s">
        <v>4195</v>
      </c>
      <c r="E23" s="16" t="s">
        <v>4195</v>
      </c>
      <c r="F23" s="16" t="s">
        <v>4195</v>
      </c>
      <c r="G23" s="16" t="s">
        <v>4193</v>
      </c>
      <c r="H23" s="16" t="s">
        <v>4207</v>
      </c>
      <c r="I23" s="16" t="s">
        <v>4207</v>
      </c>
      <c r="J23" s="16" t="s">
        <v>4207</v>
      </c>
      <c r="K23" s="16" t="s">
        <v>4195</v>
      </c>
      <c r="L23" s="16">
        <f t="shared" si="0"/>
        <v>8</v>
      </c>
      <c r="M23" s="17" t="s">
        <v>4216</v>
      </c>
    </row>
    <row r="24" spans="1:13" x14ac:dyDescent="0.25">
      <c r="A24" s="17" t="s">
        <v>4171</v>
      </c>
      <c r="B24" s="17" t="s">
        <v>91</v>
      </c>
      <c r="C24" s="16" t="s">
        <v>4195</v>
      </c>
      <c r="D24" s="16"/>
      <c r="E24" s="16" t="s">
        <v>4196</v>
      </c>
      <c r="F24" s="16" t="s">
        <v>4195</v>
      </c>
      <c r="G24" s="16" t="s">
        <v>4196</v>
      </c>
      <c r="H24" s="16" t="s">
        <v>4195</v>
      </c>
      <c r="I24" s="16"/>
      <c r="J24" s="16"/>
      <c r="K24" s="16" t="s">
        <v>4195</v>
      </c>
      <c r="L24" s="16">
        <f t="shared" si="0"/>
        <v>6</v>
      </c>
      <c r="M24" s="17" t="s">
        <v>4217</v>
      </c>
    </row>
    <row r="25" spans="1:13" x14ac:dyDescent="0.25">
      <c r="A25" s="17" t="s">
        <v>4173</v>
      </c>
      <c r="B25" s="17" t="s">
        <v>4174</v>
      </c>
      <c r="C25" s="16" t="s">
        <v>4196</v>
      </c>
      <c r="D25" s="16"/>
      <c r="E25" s="16"/>
      <c r="F25" s="16" t="s">
        <v>4196</v>
      </c>
      <c r="G25" s="16" t="s">
        <v>4193</v>
      </c>
      <c r="H25" s="16" t="s">
        <v>4196</v>
      </c>
      <c r="I25" s="16"/>
      <c r="J25" s="16" t="s">
        <v>4193</v>
      </c>
      <c r="K25" s="16" t="s">
        <v>4193</v>
      </c>
      <c r="L25" s="16">
        <f t="shared" si="0"/>
        <v>6</v>
      </c>
      <c r="M25" s="17"/>
    </row>
    <row r="26" spans="1:13" x14ac:dyDescent="0.25">
      <c r="A26" s="17" t="s">
        <v>4176</v>
      </c>
      <c r="B26" s="17" t="s">
        <v>4177</v>
      </c>
      <c r="C26" s="16" t="s">
        <v>4193</v>
      </c>
      <c r="D26" s="16" t="s">
        <v>4196</v>
      </c>
      <c r="E26" s="16" t="s">
        <v>4196</v>
      </c>
      <c r="F26" s="16"/>
      <c r="G26" s="16" t="s">
        <v>4193</v>
      </c>
      <c r="H26" s="16" t="s">
        <v>4196</v>
      </c>
      <c r="I26" s="16" t="s">
        <v>4195</v>
      </c>
      <c r="J26" s="16"/>
      <c r="K26" s="16" t="s">
        <v>4193</v>
      </c>
      <c r="L26" s="16">
        <f t="shared" si="0"/>
        <v>7</v>
      </c>
      <c r="M26" s="17"/>
    </row>
    <row r="27" spans="1:13" x14ac:dyDescent="0.25">
      <c r="A27" s="17" t="s">
        <v>4178</v>
      </c>
      <c r="B27" s="17" t="s">
        <v>4179</v>
      </c>
      <c r="C27" s="16"/>
      <c r="D27" s="16" t="s">
        <v>4193</v>
      </c>
      <c r="E27" s="16" t="s">
        <v>4195</v>
      </c>
      <c r="F27" s="16"/>
      <c r="G27" s="16"/>
      <c r="H27" s="16" t="s">
        <v>4193</v>
      </c>
      <c r="I27" s="16" t="s">
        <v>4196</v>
      </c>
      <c r="J27" s="16"/>
      <c r="K27" s="16" t="s">
        <v>4196</v>
      </c>
      <c r="L27" s="16">
        <f t="shared" si="0"/>
        <v>5</v>
      </c>
      <c r="M27" s="17"/>
    </row>
  </sheetData>
  <autoFilter ref="A3:M27" xr:uid="{00000000-0009-0000-0000-00000D000000}"/>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Portada</vt:lpstr>
      <vt:lpstr>Aplicaciones</vt:lpstr>
      <vt:lpstr>Módulos</vt:lpstr>
      <vt:lpstr>Actores</vt:lpstr>
      <vt:lpstr>Procesos</vt:lpstr>
      <vt:lpstr>Reglas de negocio</vt:lpstr>
      <vt:lpstr>RF</vt:lpstr>
      <vt:lpstr>Criterios GWT</vt:lpstr>
      <vt:lpstr>RNF</vt:lpstr>
      <vt:lpstr>Matriz Proceso-RF</vt:lpstr>
      <vt:lpstr>Matriz RF-RNF</vt:lpstr>
      <vt:lpstr>Trazabilidad</vt:lpstr>
      <vt:lpstr>Componentes</vt:lpstr>
      <vt:lpstr>Consumidores</vt:lpstr>
      <vt:lpstr>Actores!Títulos_a_imprimir</vt:lpstr>
      <vt:lpstr>Aplicaciones!Títulos_a_imprimir</vt:lpstr>
      <vt:lpstr>Componentes!Títulos_a_imprimir</vt:lpstr>
      <vt:lpstr>Consumidores!Títulos_a_imprimir</vt:lpstr>
      <vt:lpstr>'Criterios GWT'!Títulos_a_imprimir</vt:lpstr>
      <vt:lpstr>'Matriz Proceso-RF'!Títulos_a_imprimir</vt:lpstr>
      <vt:lpstr>'Matriz RF-RNF'!Títulos_a_imprimir</vt:lpstr>
      <vt:lpstr>Módulos!Títulos_a_imprimir</vt:lpstr>
      <vt:lpstr>Procesos!Títulos_a_imprimir</vt:lpstr>
      <vt:lpstr>'Reglas de negocio'!Títulos_a_imprimir</vt:lpstr>
      <vt:lpstr>RF!Títulos_a_imprimir</vt:lpstr>
      <vt:lpstr>RNF!Títulos_a_imprimir</vt:lpstr>
      <vt:lpstr>Trazabilidad!Títulos_a_imprimir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Israel Daniel Lozano del Castillo</cp:lastModifiedBy>
  <cp:revision>0</cp:revision>
  <dcterms:created xsi:type="dcterms:W3CDTF">2026-10-10T13:18:04Z</dcterms:created>
  <dcterms:modified xsi:type="dcterms:W3CDTF">2026-10-19T17:39:16Z</dcterms:modified>
  <dc:language>en-US</dc:language>
</cp:coreProperties>
</file>